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PROC. DE PG - L J P" sheetId="1" r:id="rId4"/>
    <sheet state="visible" name="CONTROLE DE PROC. DE PG - PRIME" sheetId="2" r:id="rId5"/>
  </sheets>
  <definedNames>
    <definedName hidden="1" localSheetId="0" name="_xlnm._FilterDatabase">'CONTROLE DE PROC. DE PG - L J P'!$A$6:$I$210</definedName>
    <definedName hidden="1" localSheetId="1" name="_xlnm._FilterDatabase">'CONTROLE DE PROC. DE PG - PRIME'!$C$6:$C$26</definedName>
  </definedNames>
  <calcPr/>
  <extLst>
    <ext uri="GoogleSheetsCustomDataVersion2">
      <go:sheetsCustomData xmlns:go="http://customooxmlschemas.google.com/" r:id="rId6" roundtripDataChecksum="cXFs8N7mUXoroOICJ3a0JYH928HWcFjkNqoJtnfcWdY="/>
    </ext>
  </extLst>
</workbook>
</file>

<file path=xl/sharedStrings.xml><?xml version="1.0" encoding="utf-8"?>
<sst xmlns="http://schemas.openxmlformats.org/spreadsheetml/2006/main" count="1431" uniqueCount="324">
  <si>
    <t>PREFEITURA DE TEIXEIRA DE FREITAS</t>
  </si>
  <si>
    <t xml:space="preserve">SETOR DE FROTAS - SECRETARIA DE ADMINISTRAÇÃO </t>
  </si>
  <si>
    <t xml:space="preserve">SALDO RESTANTE:  </t>
  </si>
  <si>
    <t>SALDO  - L J POSTO DE COMBUSTIVEIS LTDA - CONTRATO Nº 2-914-2025</t>
  </si>
  <si>
    <t>Pagamento em favor de L J POSTO DE COMBUSTIVEIS LTDA 2-914-2025</t>
  </si>
  <si>
    <t>ITEM</t>
  </si>
  <si>
    <t>ESPECIFICAÇÃO</t>
  </si>
  <si>
    <t>UND</t>
  </si>
  <si>
    <t>QTD.</t>
  </si>
  <si>
    <t>VALOR UNIT.</t>
  </si>
  <si>
    <t>VALOR TOTAL</t>
  </si>
  <si>
    <t xml:space="preserve">CONTROLE DE PROCESSOS DE PAGAMENTO - MODULO DE COMBUSTÍVEL </t>
  </si>
  <si>
    <t>Etanol combustível comum (álcool)</t>
  </si>
  <si>
    <t>Litro</t>
  </si>
  <si>
    <t>R$ 3,81</t>
  </si>
  <si>
    <t>R$ 9.525,00</t>
  </si>
  <si>
    <t>Nº do Processo</t>
  </si>
  <si>
    <t>Sistema</t>
  </si>
  <si>
    <t>Status</t>
  </si>
  <si>
    <t>NF</t>
  </si>
  <si>
    <t>Tipo Nota</t>
  </si>
  <si>
    <t>Unidade</t>
  </si>
  <si>
    <t>Emissão NF</t>
  </si>
  <si>
    <t>Tipo</t>
  </si>
  <si>
    <t>Valor</t>
  </si>
  <si>
    <t>Gasolina combustível comum</t>
  </si>
  <si>
    <t>R$ 5,61</t>
  </si>
  <si>
    <t>R$ 729.300,00</t>
  </si>
  <si>
    <t>PMTF-PR-74960/2025</t>
  </si>
  <si>
    <t>IGOV</t>
  </si>
  <si>
    <t>PAGO</t>
  </si>
  <si>
    <t>CONSUMO</t>
  </si>
  <si>
    <t>SECRETARIA MUNICIPAL DE ADMINISTRAÇÃO</t>
  </si>
  <si>
    <t>Composta Combustivel</t>
  </si>
  <si>
    <t>Óleo Diesel S-10</t>
  </si>
  <si>
    <t>R$ 5,86</t>
  </si>
  <si>
    <t>R$ 512.750,00</t>
  </si>
  <si>
    <t>PMTF-PR-77424/2025</t>
  </si>
  <si>
    <t>SECRETARIA MUNICIPAL DE PROMOÇÃO SOCIAL - SUAS</t>
  </si>
  <si>
    <t>Óleo Diesel comum (S-500)</t>
  </si>
  <si>
    <t>R$ 5,62</t>
  </si>
  <si>
    <t>R$ 463.650,00</t>
  </si>
  <si>
    <t>PMTF-PR-82386/2025</t>
  </si>
  <si>
    <t xml:space="preserve">SECRETARIA MUNICIPAL DE PROMOÇÃO SOCIAL </t>
  </si>
  <si>
    <t>Agente redutor líquido automotivo (ARLA)</t>
  </si>
  <si>
    <t>R$ 2,41</t>
  </si>
  <si>
    <t>R$ 12.050,00</t>
  </si>
  <si>
    <t>PMTF-PR-76956/2025</t>
  </si>
  <si>
    <t>SECRETARIA MUNICIPAL DE SAÚDE - BLOCO DE AT BASICA</t>
  </si>
  <si>
    <t>—</t>
  </si>
  <si>
    <t xml:space="preserve">SALDO DO CONTRATO Nº 2-914-2025:  </t>
  </si>
  <si>
    <t>PMTF-PR-76979/2025</t>
  </si>
  <si>
    <t>SECRETARIA MUNICIPAL DE SAÚDE - MEDIA E ALTA COMP</t>
  </si>
  <si>
    <t xml:space="preserve">VALOR TOTAL GERAL FATURADO: </t>
  </si>
  <si>
    <t>PMTF-PR-77058/2025</t>
  </si>
  <si>
    <t>SECRETARIA MUNICIPAL DE EDUCAÇÃO - 2053</t>
  </si>
  <si>
    <t>PMTF-PR-77014/2025</t>
  </si>
  <si>
    <t>SECRETARIA MUNICIPAL DE EDUCAÇÃO - T. ESCOLAR</t>
  </si>
  <si>
    <t>PMTF-PR-81904/2025</t>
  </si>
  <si>
    <t>FUNDO MUNICIPAL DE SAUDE DE TEIXEIRA DE FREITAS</t>
  </si>
  <si>
    <t>PMTF-PR-82096/2025</t>
  </si>
  <si>
    <t>SALDO  - L J POSTO DE COMBUSTIVEIS LTDA - 4TA2-914-2025</t>
  </si>
  <si>
    <t>PMTF-PR-82422/2025</t>
  </si>
  <si>
    <t>FUNDO MUNICIPAL DE ASSISTENCIA SOCIAL</t>
  </si>
  <si>
    <t>PMTF-PR-81881/2025</t>
  </si>
  <si>
    <t>PMTF-PR-83629/2025</t>
  </si>
  <si>
    <t>SECRETARIA MUNICIPAL DE PROMOÇÃO SOCIAL ECULTURA</t>
  </si>
  <si>
    <t>PMTF-PR-80323/2025</t>
  </si>
  <si>
    <t>SECRETARIA MUNICIPAL DE PROMOÇÃO SOCIAL - BF</t>
  </si>
  <si>
    <t>PMTF-PR-80310/2025</t>
  </si>
  <si>
    <t>PMTF-PR-81439/2025</t>
  </si>
  <si>
    <t>PMTF-PR-81454/2025</t>
  </si>
  <si>
    <t>PMTF-PR-81944/2025</t>
  </si>
  <si>
    <t>PMTF-PR-82072/2025</t>
  </si>
  <si>
    <t>PMTF-PR-82125/2025</t>
  </si>
  <si>
    <t>PMTF-PR-82128/2025</t>
  </si>
  <si>
    <t>PMTF-PR-81481/2025</t>
  </si>
  <si>
    <t>PMTF-PR-81489/2025</t>
  </si>
  <si>
    <t>PMTF-PR-81688/2025</t>
  </si>
  <si>
    <t>SECRETARIA MUNICIPAL DE SAÚDE - 2207</t>
  </si>
  <si>
    <t>PMTF-PR-81689/2025</t>
  </si>
  <si>
    <t>PMTF-PR-81579/2025</t>
  </si>
  <si>
    <t>PMTF-PR-81614/2025</t>
  </si>
  <si>
    <t>PMTF-PR-81690/2025</t>
  </si>
  <si>
    <t>PMTF-PR-81691/2025</t>
  </si>
  <si>
    <t>PMTF-PR-83693/2025</t>
  </si>
  <si>
    <t xml:space="preserve">FUNDO MUNICIPAL DE ASSISTENCIA SOCIAL </t>
  </si>
  <si>
    <t>PMTF-PR-83928/2025</t>
  </si>
  <si>
    <t>PMTF-PR-83935/2025</t>
  </si>
  <si>
    <t>PMTF-PR-84107/2025</t>
  </si>
  <si>
    <t>PMTF-PR-84108/2025</t>
  </si>
  <si>
    <t>SECRETARIA MUNICIPAL DE PROMOÇÃO SOCIAL E CULTURA</t>
  </si>
  <si>
    <t>PMTF-PR-84109/2025</t>
  </si>
  <si>
    <t>PMTF-PR-84110/2025</t>
  </si>
  <si>
    <t>PMTF-PR-84375/2025</t>
  </si>
  <si>
    <t>PMTF-PR-84385/2025</t>
  </si>
  <si>
    <t>GESTÃO DAS AÇÕES DA CULTURA</t>
  </si>
  <si>
    <t>PMTF-PR-84396/2025</t>
  </si>
  <si>
    <t>PMTF-PR-84447/2025</t>
  </si>
  <si>
    <t>PMTF-PR-84529/2025</t>
  </si>
  <si>
    <t>PMTF-PR-82760/2025</t>
  </si>
  <si>
    <t>FUNDO MUNICIPAL DE EDUCAÇÃO TEIXEIRA DE FREITAS</t>
  </si>
  <si>
    <t>PMTF-PR-85236/2025</t>
  </si>
  <si>
    <t>PMTF-PR-85252/2025</t>
  </si>
  <si>
    <t>PMTF-PR-85539/2025</t>
  </si>
  <si>
    <t>PMTF-PR-85570/2025</t>
  </si>
  <si>
    <t xml:space="preserve">ESTORNO </t>
  </si>
  <si>
    <t>PMTF-PR-83239/2025</t>
  </si>
  <si>
    <t xml:space="preserve">FUNDO MUNICIPAL DE SAUDE DE TEIXEIRA DE FREITAS </t>
  </si>
  <si>
    <t>PMTF-PR-83253/2025</t>
  </si>
  <si>
    <t>PMTF-PR-83153/2025</t>
  </si>
  <si>
    <t>PMTF-PR-86444/2025</t>
  </si>
  <si>
    <t>ARQUIVADO</t>
  </si>
  <si>
    <t>PMTF-PR-85968/2025</t>
  </si>
  <si>
    <t>PMTF-PR-85984/2025</t>
  </si>
  <si>
    <t>PMTF-PR-82741/2025</t>
  </si>
  <si>
    <t>FUNDO MUNICIPAL DE EDUCAÇÃO TEIXEIRA DEFREITA</t>
  </si>
  <si>
    <t>PMTF-PR-87061/2025</t>
  </si>
  <si>
    <t>PMTF-PR-88550/2025</t>
  </si>
  <si>
    <t>SECRETARIA MUNICIPAL DE SAÚDE - 2201</t>
  </si>
  <si>
    <t>PMTF-PR-88715/2025</t>
  </si>
  <si>
    <t>PMTF-PR-88432/2025</t>
  </si>
  <si>
    <t>PMTF-PR-90928/2025</t>
  </si>
  <si>
    <t>PMTF-PR-87302/2025</t>
  </si>
  <si>
    <t>PMTF-PR-87573/2025</t>
  </si>
  <si>
    <t>SECRETARIA MUNICIPAL DE EDUCAÇÃO - 2058</t>
  </si>
  <si>
    <t>PMTF-PR-89128/2025</t>
  </si>
  <si>
    <t>PMTF-PR-89149/2025</t>
  </si>
  <si>
    <t>SECRETARIA MUNICIPAL DE PROMOÇÃO SOCIAL - CRAM - 2303</t>
  </si>
  <si>
    <t>PMTF-PR-90141/2025</t>
  </si>
  <si>
    <t>SECRETARIA MUNICIPAL DE PROMOÇÃO SOCIAL - 2338</t>
  </si>
  <si>
    <t>PMTF-PR-90175/2025</t>
  </si>
  <si>
    <t>SECRETARIA MUNICIPAL DE PROMOÇÃO SOCIAL - 2318</t>
  </si>
  <si>
    <t>PMTF-PR-91779/2025</t>
  </si>
  <si>
    <t>PMTF-PR-91874/2025</t>
  </si>
  <si>
    <t>PMTF-PR-91817/2025</t>
  </si>
  <si>
    <t>PMTF-PR-93455/2025</t>
  </si>
  <si>
    <t>PMTF-PR-92405/2025</t>
  </si>
  <si>
    <t>PMTF-PR-92476/2025</t>
  </si>
  <si>
    <t>PMTF-PR-90240/2025</t>
  </si>
  <si>
    <t>SECRETARIA MUNICIPAL DE PROMOÇÃO SOCIAL - 2302</t>
  </si>
  <si>
    <t>PMTF-PR-1881/2026</t>
  </si>
  <si>
    <t xml:space="preserve">IGOV </t>
  </si>
  <si>
    <t>PMTF-PR-1870/2026</t>
  </si>
  <si>
    <t>PMTF-PR-1882/2026</t>
  </si>
  <si>
    <t>IGOV - FIN</t>
  </si>
  <si>
    <t>SECRETARIA MUNICIPAL DE ADMINISTRAÇÃO - 2038</t>
  </si>
  <si>
    <t>PMTF-PR-2197/2026</t>
  </si>
  <si>
    <t>SECRETARIA MUNICIPAL DE SAÚDE - 2202</t>
  </si>
  <si>
    <t>PMTF-PR-94315/2025</t>
  </si>
  <si>
    <t>PMTF-PR-93841/2025</t>
  </si>
  <si>
    <t>PMTF-PR-93864/2025</t>
  </si>
  <si>
    <t>PMTF-PR-93938/2025</t>
  </si>
  <si>
    <t xml:space="preserve"> FUNDO MUNICIPAL DE EDUCAÇÃO TEIXEIRA DE FREITAS</t>
  </si>
  <si>
    <t>PMTF-PR-93961/2025</t>
  </si>
  <si>
    <t>PMTF-PR-94010/2025</t>
  </si>
  <si>
    <t>PMTF-PR-93991/2025</t>
  </si>
  <si>
    <t>PMTF-PR-93973/2025</t>
  </si>
  <si>
    <t>PMTF-PR-94474/2025</t>
  </si>
  <si>
    <t>PMTF-PR-94541/2025</t>
  </si>
  <si>
    <t xml:space="preserve"> SECRETARIA MUNICIPAL DE ADMINISTRAÇÃO </t>
  </si>
  <si>
    <t>PMTF-PR-94540/2025</t>
  </si>
  <si>
    <t xml:space="preserve"> FUNDO MUNICIPAL DE SAUDE DE TEIXEIRA DE FREITAS</t>
  </si>
  <si>
    <t>PMTF-PR-94535/2025</t>
  </si>
  <si>
    <t>PMTF-PR-94536/2025</t>
  </si>
  <si>
    <t>PMTF-PR-94530/2025</t>
  </si>
  <si>
    <t>PMTF-PR-94534/2025</t>
  </si>
  <si>
    <t>PMTF-PR-2382/2026</t>
  </si>
  <si>
    <t>PMTF-PR-94550/2025</t>
  </si>
  <si>
    <t>SECRETARIA MUNICIPAL DE PROMOÇÃO SOCIAL - 2319</t>
  </si>
  <si>
    <t>PMTF-PR-94544/2025</t>
  </si>
  <si>
    <t>PMTF-PR-94548/2025</t>
  </si>
  <si>
    <t>PMTF-PR-94545/2025</t>
  </si>
  <si>
    <t>PMTF-PR-5048/2026</t>
  </si>
  <si>
    <t>PMTF-PR-9542/2026</t>
  </si>
  <si>
    <t>PMTF-PR-9756/2026</t>
  </si>
  <si>
    <t>PMTF-PR-4824/2026</t>
  </si>
  <si>
    <t>PMTF-PR-5141/2026</t>
  </si>
  <si>
    <t>PMTF-PR-13008/2026</t>
  </si>
  <si>
    <t>PMTF-PR-13013/2026</t>
  </si>
  <si>
    <t>PMTF-PR-5258/2026</t>
  </si>
  <si>
    <t>PMTF-PR-4722/2026</t>
  </si>
  <si>
    <t>PMTF-PR-4695/2026</t>
  </si>
  <si>
    <t>PMTF-PR-7707/2026</t>
  </si>
  <si>
    <t>PMTF-PR-10891/2026</t>
  </si>
  <si>
    <t>PMTF-PR-10940/2026</t>
  </si>
  <si>
    <t>PMTF-PR-14031/2026</t>
  </si>
  <si>
    <t>PMTF-PR-13747/2026</t>
  </si>
  <si>
    <t>SISTEMA MUNICIPAL DE CULTURA - 2052</t>
  </si>
  <si>
    <t>PMTF-PR-12310/2026</t>
  </si>
  <si>
    <t>PMTF-PR-16952/2026</t>
  </si>
  <si>
    <t>SECRETARIA DE CULTURA E TURISMO - 2052</t>
  </si>
  <si>
    <t>PMTF-PR-13107/2026</t>
  </si>
  <si>
    <t>PMTF-PR-13072/2026</t>
  </si>
  <si>
    <t>PMTF-PR-13179/2026</t>
  </si>
  <si>
    <t>PMTF-PR-13187/2026</t>
  </si>
  <si>
    <t>PMTF-PR-13202/2026</t>
  </si>
  <si>
    <t>PMTF-PR-13300/2026</t>
  </si>
  <si>
    <t>PMTF-PR-13365/2026</t>
  </si>
  <si>
    <t>PMTF-PR-12561/2026</t>
  </si>
  <si>
    <t>PMTF-PR-12772/2026</t>
  </si>
  <si>
    <t>PMTF-PR-15740/2026</t>
  </si>
  <si>
    <t>PMTF-PR-16072/2026</t>
  </si>
  <si>
    <t>PMTF-PR-16109/2026</t>
  </si>
  <si>
    <t>PMTF-PR-16176/2026</t>
  </si>
  <si>
    <t>iGOV</t>
  </si>
  <si>
    <t>PMTF-PR-16225/2026</t>
  </si>
  <si>
    <t>PMTF-PR-16261/2026</t>
  </si>
  <si>
    <t>PMTF-PR-16286/2026</t>
  </si>
  <si>
    <t>PMTF-PR-16298/2026</t>
  </si>
  <si>
    <t>PMTF-PR-16308/2026</t>
  </si>
  <si>
    <t>PMTF-PR-16329/2026</t>
  </si>
  <si>
    <t>PMTF-PR-16346/2026</t>
  </si>
  <si>
    <t>PMTF-PR-16359/2026</t>
  </si>
  <si>
    <t>PMTF-PR-16386/2026</t>
  </si>
  <si>
    <t>PMTF-PR-16454/2026</t>
  </si>
  <si>
    <t>PMTF-PR-16525/2026</t>
  </si>
  <si>
    <t>PMTF-PR-16605/2026</t>
  </si>
  <si>
    <t>PMTF-PR-16693/2026</t>
  </si>
  <si>
    <t>PMTF-PR-16708/2026</t>
  </si>
  <si>
    <t>PMTF-PR-17079/2026</t>
  </si>
  <si>
    <t>PMTF-PR-19132/2026</t>
  </si>
  <si>
    <t>PMTF-PR-19524/2026</t>
  </si>
  <si>
    <t>PMTF-PR-19532/2026</t>
  </si>
  <si>
    <t>PMTF-PR-19656/2026</t>
  </si>
  <si>
    <t>PMTF-PR-19659/2026</t>
  </si>
  <si>
    <t>PMTF-PR-19667/2026</t>
  </si>
  <si>
    <t>PMTF-PR-20004/2026</t>
  </si>
  <si>
    <t xml:space="preserve">PMTF-PR-20132/2026
</t>
  </si>
  <si>
    <t>PMTF-PR-20207/2026</t>
  </si>
  <si>
    <t>PMTF-PR-23266/2026</t>
  </si>
  <si>
    <t>PMTF-PR-23486/2026</t>
  </si>
  <si>
    <t>PMTF-PR-22061/2026</t>
  </si>
  <si>
    <t>PMTF-PR-23243/2026</t>
  </si>
  <si>
    <t>FINANÇAS</t>
  </si>
  <si>
    <t>PMTF-PR-23150/2026</t>
  </si>
  <si>
    <t>PMTF-PR-24169/2026</t>
  </si>
  <si>
    <t>PMTF-PR-23872/2026</t>
  </si>
  <si>
    <t>PMTF-PR-23879/2026</t>
  </si>
  <si>
    <t xml:space="preserve">PMTF-PR-23938/2026 </t>
  </si>
  <si>
    <t>PMTF-PR-24009/2026</t>
  </si>
  <si>
    <t>PMTF-PR-23968/2026</t>
  </si>
  <si>
    <t>PMTF-PR-31522/2026</t>
  </si>
  <si>
    <t>PMTF-PR-31593/2026</t>
  </si>
  <si>
    <t>PMTF-PR-32245/2026</t>
  </si>
  <si>
    <t>PMTF-PR-28905/2026</t>
  </si>
  <si>
    <t>PMTF-PR-29024/2026</t>
  </si>
  <si>
    <t>PMTF-PR-29033/2026</t>
  </si>
  <si>
    <t>PMTF-PR-29051/2026</t>
  </si>
  <si>
    <t>PMTF-PR-29193/2026</t>
  </si>
  <si>
    <t>PMTF-PR-29307/2026</t>
  </si>
  <si>
    <t>PMTF-PR-29318/2026</t>
  </si>
  <si>
    <t>PMTF-PR-37835/2026</t>
  </si>
  <si>
    <t>PMTF-PR-36435/2026</t>
  </si>
  <si>
    <t>PMTF-PR-36882/2026</t>
  </si>
  <si>
    <t>PMTF-PR-32265/2026</t>
  </si>
  <si>
    <t>PMTF-PR-32283/2026</t>
  </si>
  <si>
    <t xml:space="preserve">PMTF-PR-33332/2026 </t>
  </si>
  <si>
    <t>PMTF-PR-32438/2026</t>
  </si>
  <si>
    <t>PMTF-PR-36412/2026</t>
  </si>
  <si>
    <t>PMTF-PR-36403/2026</t>
  </si>
  <si>
    <t>PMTF-PR-34334/2026</t>
  </si>
  <si>
    <t xml:space="preserve">PMTF-PR-42237/2026
</t>
  </si>
  <si>
    <t>CGM</t>
  </si>
  <si>
    <t>PMTF-PR-39873/2026</t>
  </si>
  <si>
    <t xml:space="preserve">PMTF-PR-41659/2026
</t>
  </si>
  <si>
    <t>PMTF-PR-39349/2026</t>
  </si>
  <si>
    <t>PMTF-PR-39610/2026</t>
  </si>
  <si>
    <t xml:space="preserve">PMTF-PR-39416/2026
</t>
  </si>
  <si>
    <t xml:space="preserve">PMTF-PR-39427/2026
</t>
  </si>
  <si>
    <t>PMTF-PR-39652/2026</t>
  </si>
  <si>
    <t>ADM</t>
  </si>
  <si>
    <t xml:space="preserve">PMTF-PR-39672/2026
</t>
  </si>
  <si>
    <t>PMTF-PR-44822/2026</t>
  </si>
  <si>
    <t>PMTF-PR-44844/2026</t>
  </si>
  <si>
    <t xml:space="preserve">PMTF-PR-42266/2026
</t>
  </si>
  <si>
    <t xml:space="preserve">PMTF-PR-42447/2026
</t>
  </si>
  <si>
    <t>PMTF-PR-42452/2026</t>
  </si>
  <si>
    <t>PMTF-PR-43105/2026</t>
  </si>
  <si>
    <t>PMTF-PR-43448/2026</t>
  </si>
  <si>
    <t>COMPRAS</t>
  </si>
  <si>
    <t>PMTF-PR-43465/2026</t>
  </si>
  <si>
    <t>PMTF-PR-43481/2026</t>
  </si>
  <si>
    <t xml:space="preserve">  SALDO - PRIME_COMBUSTÍVEL</t>
  </si>
  <si>
    <t xml:space="preserve">Contratado </t>
  </si>
  <si>
    <t>Consumido</t>
  </si>
  <si>
    <t>Restante</t>
  </si>
  <si>
    <t>Pagamento em favor de PRIME CONSULTORIA E ASSESSORIA EMPRESARIAL LTDA 2-860-2022</t>
  </si>
  <si>
    <t>Fatura</t>
  </si>
  <si>
    <t xml:space="preserve">Tipo </t>
  </si>
  <si>
    <t>PMTF-PR-19059/2026</t>
  </si>
  <si>
    <t>Consumo combustível</t>
  </si>
  <si>
    <t xml:space="preserve">        BOLSA FAMILIA / 2318</t>
  </si>
  <si>
    <t>PMTF-PR-19080/2026</t>
  </si>
  <si>
    <t>SEC DE MUNICIPAL DE PROMOÇÃO SOCIAL E CULTURA / 2301</t>
  </si>
  <si>
    <t>PMTF-PR-3220/2026</t>
  </si>
  <si>
    <t>-</t>
  </si>
  <si>
    <t xml:space="preserve">        SECRETARIA DE SAUDE / 2207</t>
  </si>
  <si>
    <t>PMTF-PR-3956/2026</t>
  </si>
  <si>
    <t xml:space="preserve">        MEDIA E ALTA COMPLEXIDADE / 2202</t>
  </si>
  <si>
    <t>PMTF-PR-10598/2026</t>
  </si>
  <si>
    <t>SECRETARIA DE EDUCACAO / 2053</t>
  </si>
  <si>
    <t>PMTF-PR-18201/2026</t>
  </si>
  <si>
    <t>IGOV - COMPRAS</t>
  </si>
  <si>
    <t>SECRETARIA DE ADMINISTRAÇÃO / 2038</t>
  </si>
  <si>
    <t>PMTF-PR-18239/2026</t>
  </si>
  <si>
    <t>PMTF-PR-18296/2026</t>
  </si>
  <si>
    <t>PMTF-PR-18426/2026</t>
  </si>
  <si>
    <t>SECRETARIA DE PROMOÇÃO SOCIAL / 2338</t>
  </si>
  <si>
    <t>PMTF-PR-18610/2026</t>
  </si>
  <si>
    <t>PMTF-PR-20356/2026</t>
  </si>
  <si>
    <t>PMTF-PR-24185/2026</t>
  </si>
  <si>
    <t xml:space="preserve">PMTF-PR-26981/2026 </t>
  </si>
  <si>
    <t>PMTF-PR-27046/2026</t>
  </si>
  <si>
    <t xml:space="preserve">PMTF-PR-27391/2026
</t>
  </si>
  <si>
    <t xml:space="preserve">PMTF-PR-27088/2026
</t>
  </si>
  <si>
    <t>PMTF-PR-27462/2026</t>
  </si>
  <si>
    <t>PMTF-PR-41120/2026</t>
  </si>
  <si>
    <t>PMTF-PR-41500/2026</t>
  </si>
  <si>
    <t>PMTF-PR-43017/2026</t>
  </si>
  <si>
    <t>TRANSPORTE ESCOLAR / 2058</t>
  </si>
  <si>
    <t>MÉDIA E ALTA COMPLEXIDADE / 2202</t>
  </si>
  <si>
    <t xml:space="preserve">PMTF-PR-41755/2026
</t>
  </si>
  <si>
    <t>PROMOÇÃO SOCIAL E CULTURA / 2301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</si>
</sst>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_-&quot;R$&quot;\ * #,##0.00_-;\-&quot;R$&quot;\ * #,##0.00_-;_-&quot;R$&quot;\ * &quot;-&quot;??_-;_-@"/>
    <numFmt numFmtId="166" formatCode="_([$R$ -416]* #,##0.00_);_([$R$ -416]* \(#,##0.00\);_([$R$ -416]* &quot;-&quot;??_);_(@_)"/>
    <numFmt numFmtId="167" formatCode="&quot;R$&quot;\ #,##0.00"/>
    <numFmt numFmtId="168" formatCode="dd/mm/yyyy"/>
    <numFmt numFmtId="169" formatCode="[$R$ -416]#,##0.00"/>
  </numFmts>
  <fonts count="20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rgb="FFFFFFFF"/>
      <name val="Calibri"/>
      <scheme val="minor"/>
    </font>
    <font>
      <b/>
      <sz val="14.0"/>
      <color rgb="FFFFFFFF"/>
      <name val="Calibri"/>
      <scheme val="minor"/>
    </font>
    <font>
      <b/>
      <sz val="13.0"/>
      <color rgb="FFFFFFFF"/>
      <name val="Calibri"/>
      <scheme val="minor"/>
    </font>
    <font/>
    <font>
      <b/>
      <sz val="14.0"/>
      <color rgb="FF000000"/>
      <name val="Quattrocento Sans"/>
    </font>
    <font>
      <b/>
      <sz val="12.0"/>
      <color rgb="FFFFFFFF"/>
      <name val="Calibri"/>
    </font>
    <font>
      <sz val="12.0"/>
      <color theme="1"/>
      <name val="Calibri"/>
      <scheme val="minor"/>
    </font>
    <font>
      <b/>
      <sz val="11.0"/>
      <color theme="0"/>
      <name val="Calibri"/>
    </font>
    <font>
      <b/>
      <sz val="11.0"/>
      <color rgb="FF171616"/>
      <name val="Calibri"/>
    </font>
    <font>
      <b/>
      <sz val="12.0"/>
      <color theme="1"/>
      <name val="Calibri"/>
      <scheme val="minor"/>
    </font>
    <font>
      <b/>
      <sz val="11.0"/>
      <color rgb="FF000000"/>
      <name val="Calibri"/>
    </font>
    <font>
      <b/>
      <sz val="11.0"/>
      <color rgb="FFFFFFFF"/>
      <name val="Calibri"/>
    </font>
    <font>
      <b/>
      <color theme="1"/>
      <name val="Calibri"/>
      <scheme val="minor"/>
    </font>
    <font>
      <b/>
      <color rgb="FF000000"/>
      <name val="Calibri"/>
      <scheme val="minor"/>
    </font>
    <font>
      <b/>
      <color theme="1"/>
      <name val="Calibri"/>
    </font>
    <font>
      <b/>
      <color rgb="FFFFFFFF"/>
      <name val="Calibri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1C4587"/>
        <bgColor rgb="FF1C4587"/>
      </patternFill>
    </fill>
    <fill>
      <patternFill patternType="solid">
        <fgColor rgb="FF666666"/>
        <bgColor rgb="FF666666"/>
      </patternFill>
    </fill>
    <fill>
      <patternFill patternType="solid">
        <fgColor rgb="FF565656"/>
        <bgColor rgb="FF565656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385623"/>
        <bgColor rgb="FF385623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0C0C0C"/>
        <bgColor rgb="FF0C0C0C"/>
      </patternFill>
    </fill>
    <fill>
      <patternFill patternType="solid">
        <fgColor rgb="FFC00000"/>
        <bgColor rgb="FFC00000"/>
      </patternFill>
    </fill>
    <fill>
      <patternFill patternType="solid">
        <fgColor rgb="FFD5A6BD"/>
        <bgColor rgb="FFD5A6BD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A61C00"/>
        <bgColor rgb="FFA61C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5F5F5"/>
        <bgColor rgb="FFF5F5F5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left"/>
    </xf>
    <xf borderId="0" fillId="2" fontId="4" numFmtId="0" xfId="0" applyAlignment="1" applyFill="1" applyFont="1">
      <alignment horizontal="right" readingOrder="0" vertical="center"/>
    </xf>
    <xf borderId="0" fillId="3" fontId="5" numFmtId="166" xfId="0" applyAlignment="1" applyFill="1" applyFont="1" applyNumberFormat="1">
      <alignment vertical="center"/>
    </xf>
    <xf borderId="1" fillId="2" fontId="6" numFmtId="0" xfId="0" applyAlignment="1" applyBorder="1" applyFont="1">
      <alignment horizontal="center" readingOrder="0" vertical="center"/>
    </xf>
    <xf borderId="2" fillId="0" fontId="7" numFmtId="0" xfId="0" applyBorder="1" applyFont="1"/>
    <xf borderId="3" fillId="0" fontId="7" numFmtId="0" xfId="0" applyBorder="1" applyFont="1"/>
    <xf borderId="4" fillId="0" fontId="7" numFmtId="0" xfId="0" applyBorder="1" applyFont="1"/>
    <xf borderId="4" fillId="0" fontId="8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vertical="center"/>
    </xf>
    <xf borderId="1" fillId="5" fontId="9" numFmtId="167" xfId="0" applyAlignment="1" applyBorder="1" applyFill="1" applyFont="1" applyNumberFormat="1">
      <alignment horizontal="center" readingOrder="0" vertical="center"/>
    </xf>
    <xf borderId="5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readingOrder="0"/>
    </xf>
    <xf borderId="5" fillId="0" fontId="10" numFmtId="3" xfId="0" applyAlignment="1" applyBorder="1" applyFont="1" applyNumberFormat="1">
      <alignment horizontal="center" readingOrder="0"/>
    </xf>
    <xf borderId="5" fillId="0" fontId="10" numFmtId="166" xfId="0" applyAlignment="1" applyBorder="1" applyFont="1" applyNumberFormat="1">
      <alignment horizontal="center" readingOrder="0"/>
    </xf>
    <xf borderId="5" fillId="6" fontId="11" numFmtId="0" xfId="0" applyAlignment="1" applyBorder="1" applyFill="1" applyFont="1">
      <alignment horizontal="center"/>
    </xf>
    <xf borderId="5" fillId="6" fontId="11" numFmtId="164" xfId="0" applyAlignment="1" applyBorder="1" applyFont="1" applyNumberFormat="1">
      <alignment horizontal="center"/>
    </xf>
    <xf borderId="5" fillId="6" fontId="11" numFmtId="165" xfId="0" applyAlignment="1" applyBorder="1" applyFont="1" applyNumberFormat="1">
      <alignment horizontal="center"/>
    </xf>
    <xf borderId="5" fillId="7" fontId="2" numFmtId="0" xfId="0" applyAlignment="1" applyBorder="1" applyFill="1" applyFont="1">
      <alignment horizontal="center" shrinkToFit="0" wrapText="1"/>
    </xf>
    <xf borderId="5" fillId="0" fontId="12" numFmtId="0" xfId="0" applyAlignment="1" applyBorder="1" applyFont="1">
      <alignment horizontal="center" vertical="center"/>
    </xf>
    <xf borderId="5" fillId="8" fontId="1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5" fillId="9" fontId="2" numFmtId="164" xfId="0" applyAlignment="1" applyBorder="1" applyFill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5" fillId="7" fontId="2" numFmtId="0" xfId="0" applyAlignment="1" applyBorder="1" applyFont="1">
      <alignment horizontal="center" vertical="center"/>
    </xf>
    <xf borderId="5" fillId="9" fontId="2" numFmtId="164" xfId="0" applyAlignment="1" applyBorder="1" applyFont="1" applyNumberFormat="1">
      <alignment horizontal="center" vertical="center"/>
    </xf>
    <xf borderId="5" fillId="0" fontId="2" numFmtId="165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readingOrder="0" vertical="center"/>
    </xf>
    <xf borderId="1" fillId="0" fontId="13" numFmtId="0" xfId="0" applyAlignment="1" applyBorder="1" applyFont="1">
      <alignment horizontal="right" readingOrder="0" vertical="center"/>
    </xf>
    <xf borderId="5" fillId="4" fontId="6" numFmtId="166" xfId="0" applyAlignment="1" applyBorder="1" applyFont="1" applyNumberFormat="1">
      <alignment horizontal="center" readingOrder="0" vertical="center"/>
    </xf>
    <xf borderId="0" fillId="10" fontId="6" numFmtId="165" xfId="0" applyAlignment="1" applyFill="1" applyFont="1" applyNumberFormat="1">
      <alignment readingOrder="0" vertical="center"/>
    </xf>
    <xf borderId="5" fillId="7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wrapText="1"/>
    </xf>
    <xf borderId="5" fillId="11" fontId="2" numFmtId="164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3" xfId="0" applyAlignment="1" applyFont="1" applyNumberFormat="1">
      <alignment horizontal="center" readingOrder="0"/>
    </xf>
    <xf borderId="0" fillId="0" fontId="10" numFmtId="166" xfId="0" applyAlignment="1" applyFont="1" applyNumberFormat="1">
      <alignment horizontal="center" readingOrder="0"/>
    </xf>
    <xf borderId="5" fillId="11" fontId="2" numFmtId="164" xfId="0" applyAlignment="1" applyBorder="1" applyFont="1" applyNumberFormat="1">
      <alignment horizontal="center"/>
    </xf>
    <xf borderId="5" fillId="7" fontId="2" numFmtId="165" xfId="0" applyAlignment="1" applyBorder="1" applyFont="1" applyNumberFormat="1">
      <alignment horizontal="center" vertical="center"/>
    </xf>
    <xf borderId="5" fillId="12" fontId="11" numFmtId="0" xfId="0" applyAlignment="1" applyBorder="1" applyFill="1" applyFont="1">
      <alignment horizontal="center" vertical="center"/>
    </xf>
    <xf borderId="5" fillId="11" fontId="2" numFmtId="14" xfId="0" applyAlignment="1" applyBorder="1" applyFont="1" applyNumberFormat="1">
      <alignment horizontal="center" vertical="center"/>
    </xf>
    <xf borderId="5" fillId="13" fontId="11" numFmtId="0" xfId="0" applyAlignment="1" applyBorder="1" applyFill="1" applyFont="1">
      <alignment horizontal="center" vertical="center"/>
    </xf>
    <xf borderId="5" fillId="14" fontId="2" numFmtId="164" xfId="0" applyAlignment="1" applyBorder="1" applyFill="1" applyFont="1" applyNumberFormat="1">
      <alignment horizontal="center"/>
    </xf>
    <xf borderId="5" fillId="0" fontId="2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readingOrder="0"/>
    </xf>
    <xf borderId="5" fillId="0" fontId="14" numFmtId="0" xfId="0" applyAlignment="1" applyBorder="1" applyFont="1">
      <alignment horizontal="center" readingOrder="0" vertical="center"/>
    </xf>
    <xf borderId="5" fillId="15" fontId="15" numFmtId="0" xfId="0" applyAlignment="1" applyBorder="1" applyFill="1" applyFont="1">
      <alignment horizontal="center" readingOrder="0" vertical="center"/>
    </xf>
    <xf borderId="5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 vertical="center"/>
    </xf>
    <xf borderId="5" fillId="14" fontId="14" numFmtId="164" xfId="0" applyAlignment="1" applyBorder="1" applyFont="1" applyNumberFormat="1">
      <alignment horizontal="center"/>
    </xf>
    <xf borderId="5" fillId="0" fontId="14" numFmtId="165" xfId="0" applyAlignment="1" applyBorder="1" applyFont="1" applyNumberFormat="1">
      <alignment horizontal="center"/>
    </xf>
    <xf borderId="5" fillId="16" fontId="15" numFmtId="0" xfId="0" applyAlignment="1" applyBorder="1" applyFill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5" fillId="17" fontId="15" numFmtId="0" xfId="0" applyAlignment="1" applyBorder="1" applyFill="1" applyFont="1">
      <alignment horizontal="center" readingOrder="0" vertical="center"/>
    </xf>
    <xf borderId="5" fillId="18" fontId="2" numFmtId="164" xfId="0" applyAlignment="1" applyBorder="1" applyFill="1" applyFont="1" applyNumberFormat="1">
      <alignment horizontal="center" readingOrder="0"/>
    </xf>
    <xf borderId="5" fillId="0" fontId="2" numFmtId="165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5" fillId="19" fontId="2" numFmtId="164" xfId="0" applyAlignment="1" applyBorder="1" applyFill="1" applyFont="1" applyNumberFormat="1">
      <alignment horizontal="center" readingOrder="0"/>
    </xf>
    <xf borderId="5" fillId="0" fontId="2" numFmtId="165" xfId="0" applyAlignment="1" applyBorder="1" applyFont="1" applyNumberFormat="1">
      <alignment horizontal="center" readingOrder="0" vertical="bottom"/>
    </xf>
    <xf borderId="5" fillId="20" fontId="15" numFmtId="0" xfId="0" applyAlignment="1" applyBorder="1" applyFill="1" applyFont="1">
      <alignment horizontal="center" readingOrder="0" vertical="center"/>
    </xf>
    <xf borderId="0" fillId="0" fontId="16" numFmtId="165" xfId="0" applyAlignment="1" applyFont="1" applyNumberFormat="1">
      <alignment readingOrder="0"/>
    </xf>
    <xf borderId="5" fillId="0" fontId="17" numFmtId="0" xfId="0" applyAlignment="1" applyBorder="1" applyFont="1">
      <alignment horizontal="center" readingOrder="0"/>
    </xf>
    <xf borderId="5" fillId="21" fontId="16" numFmtId="0" xfId="0" applyAlignment="1" applyBorder="1" applyFill="1" applyFont="1">
      <alignment horizontal="center" readingOrder="0"/>
    </xf>
    <xf borderId="5" fillId="21" fontId="2" numFmtId="0" xfId="0" applyAlignment="1" applyBorder="1" applyFont="1">
      <alignment horizontal="center"/>
    </xf>
    <xf borderId="5" fillId="21" fontId="2" numFmtId="0" xfId="0" applyAlignment="1" applyBorder="1" applyFont="1">
      <alignment horizontal="center" vertical="center"/>
    </xf>
    <xf borderId="5" fillId="11" fontId="2" numFmtId="164" xfId="0" applyAlignment="1" applyBorder="1" applyFont="1" applyNumberFormat="1">
      <alignment horizontal="center" readingOrder="0"/>
    </xf>
    <xf borderId="5" fillId="21" fontId="2" numFmtId="165" xfId="0" applyAlignment="1" applyBorder="1" applyFont="1" applyNumberFormat="1">
      <alignment horizontal="center" readingOrder="0"/>
    </xf>
    <xf borderId="5" fillId="0" fontId="16" numFmtId="0" xfId="0" applyAlignment="1" applyBorder="1" applyFont="1">
      <alignment horizontal="center" readingOrder="0"/>
    </xf>
    <xf borderId="5" fillId="15" fontId="11" numFmtId="0" xfId="0" applyAlignment="1" applyBorder="1" applyFont="1">
      <alignment horizontal="center" readingOrder="0" vertical="center"/>
    </xf>
    <xf borderId="5" fillId="21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vertical="center"/>
    </xf>
    <xf borderId="5" fillId="22" fontId="2" numFmtId="164" xfId="0" applyAlignment="1" applyBorder="1" applyFill="1" applyFont="1" applyNumberFormat="1">
      <alignment horizontal="center" readingOrder="0"/>
    </xf>
    <xf borderId="5" fillId="0" fontId="18" numFmtId="0" xfId="0" applyAlignment="1" applyBorder="1" applyFont="1">
      <alignment horizontal="center" readingOrder="0"/>
    </xf>
    <xf borderId="5" fillId="15" fontId="15" numFmtId="0" xfId="0" applyAlignment="1" applyBorder="1" applyFont="1">
      <alignment horizontal="center" readingOrder="0"/>
    </xf>
    <xf borderId="5" fillId="9" fontId="2" numFmtId="164" xfId="0" applyAlignment="1" applyBorder="1" applyFont="1" applyNumberFormat="1">
      <alignment horizontal="center" readingOrder="0"/>
    </xf>
    <xf borderId="5" fillId="23" fontId="15" numFmtId="0" xfId="0" applyAlignment="1" applyBorder="1" applyFill="1" applyFont="1">
      <alignment horizontal="center" readingOrder="0"/>
    </xf>
    <xf borderId="5" fillId="24" fontId="15" numFmtId="0" xfId="0" applyAlignment="1" applyBorder="1" applyFill="1" applyFont="1">
      <alignment horizontal="center" readingOrder="0"/>
    </xf>
    <xf borderId="5" fillId="25" fontId="2" numFmtId="164" xfId="0" applyAlignment="1" applyBorder="1" applyFill="1" applyFont="1" applyNumberFormat="1">
      <alignment horizontal="center" readingOrder="0"/>
    </xf>
    <xf borderId="5" fillId="0" fontId="16" numFmtId="0" xfId="0" applyAlignment="1" applyBorder="1" applyFont="1">
      <alignment horizontal="center" readingOrder="0" vertical="center"/>
    </xf>
    <xf borderId="5" fillId="9" fontId="2" numFmtId="164" xfId="0" applyAlignment="1" applyBorder="1" applyFont="1" applyNumberFormat="1">
      <alignment horizontal="center" readingOrder="0" vertical="center"/>
    </xf>
    <xf borderId="5" fillId="0" fontId="2" numFmtId="165" xfId="0" applyAlignment="1" applyBorder="1" applyFont="1" applyNumberFormat="1">
      <alignment horizontal="center" readingOrder="0" vertical="center"/>
    </xf>
    <xf borderId="5" fillId="19" fontId="2" numFmtId="0" xfId="0" applyAlignment="1" applyBorder="1" applyFont="1">
      <alignment horizontal="center" readingOrder="0" vertical="center"/>
    </xf>
    <xf borderId="5" fillId="26" fontId="2" numFmtId="164" xfId="0" applyAlignment="1" applyBorder="1" applyFill="1" applyFont="1" applyNumberFormat="1">
      <alignment horizontal="center" readingOrder="0"/>
    </xf>
    <xf borderId="5" fillId="27" fontId="2" numFmtId="0" xfId="0" applyAlignment="1" applyBorder="1" applyFill="1" applyFont="1">
      <alignment horizontal="center" readingOrder="0" vertical="center"/>
    </xf>
    <xf borderId="5" fillId="28" fontId="2" numFmtId="164" xfId="0" applyAlignment="1" applyBorder="1" applyFill="1" applyFont="1" applyNumberFormat="1">
      <alignment horizontal="center" readingOrder="0"/>
    </xf>
    <xf borderId="5" fillId="0" fontId="18" numFmtId="0" xfId="0" applyAlignment="1" applyBorder="1" applyFont="1">
      <alignment horizontal="center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1" fillId="2" fontId="19" numFmtId="0" xfId="0" applyAlignment="1" applyBorder="1" applyFont="1">
      <alignment horizontal="left" readingOrder="0"/>
    </xf>
    <xf borderId="0" fillId="3" fontId="5" numFmtId="166" xfId="0" applyAlignment="1" applyFont="1" applyNumberFormat="1">
      <alignment readingOrder="0" vertical="center"/>
    </xf>
    <xf borderId="5" fillId="0" fontId="16" numFmtId="166" xfId="0" applyAlignment="1" applyBorder="1" applyFont="1" applyNumberFormat="1">
      <alignment horizontal="center" readingOrder="0" vertical="center"/>
    </xf>
    <xf borderId="5" fillId="6" fontId="15" numFmtId="0" xfId="0" applyAlignment="1" applyBorder="1" applyFont="1">
      <alignment horizontal="center" readingOrder="0"/>
    </xf>
    <xf borderId="5" fillId="0" fontId="14" numFmtId="164" xfId="0" applyAlignment="1" applyBorder="1" applyFont="1" applyNumberFormat="1">
      <alignment horizontal="center" readingOrder="0"/>
    </xf>
    <xf borderId="5" fillId="0" fontId="14" numFmtId="165" xfId="0" applyAlignment="1" applyBorder="1" applyFont="1" applyNumberFormat="1">
      <alignment horizontal="center" readingOrder="0"/>
    </xf>
    <xf borderId="5" fillId="11" fontId="14" numFmtId="0" xfId="0" applyAlignment="1" applyBorder="1" applyFont="1">
      <alignment horizontal="center" readingOrder="0" vertical="center"/>
    </xf>
    <xf borderId="0" fillId="21" fontId="14" numFmtId="0" xfId="0" applyAlignment="1" applyFont="1">
      <alignment horizontal="center" readingOrder="0"/>
    </xf>
    <xf borderId="5" fillId="0" fontId="2" numFmtId="168" xfId="0" applyAlignment="1" applyBorder="1" applyFont="1" applyNumberFormat="1">
      <alignment horizontal="center" readingOrder="0"/>
    </xf>
    <xf borderId="5" fillId="21" fontId="14" numFmtId="0" xfId="0" applyAlignment="1" applyBorder="1" applyFont="1">
      <alignment horizontal="center" readingOrder="0"/>
    </xf>
    <xf borderId="5" fillId="29" fontId="14" numFmtId="0" xfId="0" applyAlignment="1" applyBorder="1" applyFill="1" applyFont="1">
      <alignment horizontal="center" readingOrder="0"/>
    </xf>
    <xf borderId="5" fillId="0" fontId="18" numFmtId="168" xfId="0" applyAlignment="1" applyBorder="1" applyFont="1" applyNumberFormat="1">
      <alignment horizontal="center" readingOrder="0"/>
    </xf>
    <xf borderId="5" fillId="0" fontId="18" numFmtId="166" xfId="0" applyAlignment="1" applyBorder="1" applyFont="1" applyNumberFormat="1">
      <alignment horizontal="right" readingOrder="0"/>
    </xf>
    <xf borderId="5" fillId="0" fontId="18" numFmtId="169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0</xdr:rowOff>
    </xdr:from>
    <xdr:ext cx="1695450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8286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4.86"/>
    <col customWidth="1" min="3" max="3" width="39.29"/>
    <col customWidth="1" min="4" max="4" width="11.43"/>
    <col customWidth="1" min="5" max="5" width="17.0"/>
    <col customWidth="1" min="6" max="6" width="63.0"/>
    <col customWidth="1" min="7" max="7" width="19.29"/>
    <col customWidth="1" min="8" max="8" width="21.86"/>
    <col customWidth="1" min="9" max="9" width="16.29"/>
    <col customWidth="1" min="10" max="10" width="6.0"/>
    <col customWidth="1" min="11" max="11" width="6.86"/>
    <col customWidth="1" min="12" max="12" width="37.0"/>
    <col customWidth="1" min="13" max="13" width="6.29"/>
    <col customWidth="1" min="14" max="14" width="8.0"/>
    <col customWidth="1" min="15" max="15" width="15.14"/>
    <col customWidth="1" min="16" max="16" width="20.14"/>
    <col customWidth="1" min="17" max="19" width="8.71"/>
  </cols>
  <sheetData>
    <row r="1">
      <c r="A1" s="1"/>
      <c r="D1" s="2"/>
      <c r="G1" s="3"/>
      <c r="I1" s="4"/>
    </row>
    <row r="2">
      <c r="D2" s="5" t="s">
        <v>0</v>
      </c>
      <c r="G2" s="3"/>
      <c r="I2" s="4"/>
    </row>
    <row r="3" ht="27.0" customHeight="1">
      <c r="D3" s="5" t="s">
        <v>1</v>
      </c>
      <c r="G3" s="6" t="s">
        <v>2</v>
      </c>
      <c r="H3" s="7">
        <f>P10-P11+P20</f>
        <v>187857.59</v>
      </c>
      <c r="I3" s="4"/>
      <c r="K3" s="8" t="s">
        <v>3</v>
      </c>
      <c r="L3" s="9"/>
      <c r="M3" s="9"/>
      <c r="N3" s="9"/>
      <c r="O3" s="9"/>
      <c r="P3" s="10"/>
    </row>
    <row r="4" ht="33.75" customHeight="1">
      <c r="A4" s="11"/>
      <c r="B4" s="11"/>
      <c r="C4" s="11"/>
      <c r="D4" s="12" t="s">
        <v>4</v>
      </c>
      <c r="E4" s="11"/>
      <c r="F4" s="11"/>
      <c r="G4" s="11"/>
      <c r="H4" s="11"/>
      <c r="I4" s="11"/>
      <c r="K4" s="13" t="s">
        <v>5</v>
      </c>
      <c r="L4" s="13" t="s">
        <v>6</v>
      </c>
      <c r="M4" s="13" t="s">
        <v>7</v>
      </c>
      <c r="N4" s="13" t="s">
        <v>8</v>
      </c>
      <c r="O4" s="13" t="s">
        <v>9</v>
      </c>
      <c r="P4" s="13" t="s">
        <v>10</v>
      </c>
    </row>
    <row r="5" ht="24.75" customHeight="1">
      <c r="A5" s="14" t="s">
        <v>11</v>
      </c>
      <c r="B5" s="9"/>
      <c r="C5" s="9"/>
      <c r="D5" s="9"/>
      <c r="E5" s="9"/>
      <c r="F5" s="9"/>
      <c r="G5" s="9"/>
      <c r="H5" s="9"/>
      <c r="I5" s="10"/>
      <c r="K5" s="15">
        <v>1.0</v>
      </c>
      <c r="L5" s="16" t="s">
        <v>12</v>
      </c>
      <c r="M5" s="16" t="s">
        <v>13</v>
      </c>
      <c r="N5" s="17">
        <v>2500.0</v>
      </c>
      <c r="O5" s="18" t="s">
        <v>14</v>
      </c>
      <c r="P5" s="18" t="s">
        <v>15</v>
      </c>
    </row>
    <row r="6">
      <c r="A6" s="19" t="s">
        <v>16</v>
      </c>
      <c r="B6" s="19" t="s">
        <v>17</v>
      </c>
      <c r="C6" s="19" t="s">
        <v>18</v>
      </c>
      <c r="D6" s="19" t="s">
        <v>19</v>
      </c>
      <c r="E6" s="19" t="s">
        <v>20</v>
      </c>
      <c r="F6" s="19" t="s">
        <v>21</v>
      </c>
      <c r="G6" s="20" t="s">
        <v>22</v>
      </c>
      <c r="H6" s="19" t="s">
        <v>23</v>
      </c>
      <c r="I6" s="21" t="s">
        <v>24</v>
      </c>
      <c r="K6" s="15">
        <v>2.0</v>
      </c>
      <c r="L6" s="16" t="s">
        <v>25</v>
      </c>
      <c r="M6" s="16" t="s">
        <v>13</v>
      </c>
      <c r="N6" s="17">
        <v>130000.0</v>
      </c>
      <c r="O6" s="18" t="s">
        <v>26</v>
      </c>
      <c r="P6" s="18" t="s">
        <v>27</v>
      </c>
    </row>
    <row r="7" hidden="1">
      <c r="A7" s="22" t="s">
        <v>28</v>
      </c>
      <c r="B7" s="23" t="s">
        <v>29</v>
      </c>
      <c r="C7" s="24" t="s">
        <v>30</v>
      </c>
      <c r="D7" s="25">
        <v>27.0</v>
      </c>
      <c r="E7" s="25" t="s">
        <v>31</v>
      </c>
      <c r="F7" s="26" t="s">
        <v>32</v>
      </c>
      <c r="G7" s="27">
        <v>45931.0</v>
      </c>
      <c r="H7" s="25" t="s">
        <v>33</v>
      </c>
      <c r="I7" s="28">
        <v>41934.38</v>
      </c>
      <c r="K7" s="15">
        <v>3.0</v>
      </c>
      <c r="L7" s="16" t="s">
        <v>34</v>
      </c>
      <c r="M7" s="16" t="s">
        <v>13</v>
      </c>
      <c r="N7" s="17">
        <v>87500.0</v>
      </c>
      <c r="O7" s="18" t="s">
        <v>35</v>
      </c>
      <c r="P7" s="18" t="s">
        <v>36</v>
      </c>
    </row>
    <row r="8" hidden="1">
      <c r="A8" s="29" t="s">
        <v>37</v>
      </c>
      <c r="B8" s="23" t="s">
        <v>29</v>
      </c>
      <c r="C8" s="24" t="s">
        <v>30</v>
      </c>
      <c r="D8" s="25">
        <v>54.0</v>
      </c>
      <c r="E8" s="25" t="s">
        <v>31</v>
      </c>
      <c r="F8" s="25" t="s">
        <v>38</v>
      </c>
      <c r="G8" s="30">
        <v>45950.0</v>
      </c>
      <c r="H8" s="25" t="s">
        <v>33</v>
      </c>
      <c r="I8" s="31">
        <v>168.3</v>
      </c>
      <c r="K8" s="15">
        <v>4.0</v>
      </c>
      <c r="L8" s="16" t="s">
        <v>39</v>
      </c>
      <c r="M8" s="16" t="s">
        <v>13</v>
      </c>
      <c r="N8" s="17">
        <v>82500.0</v>
      </c>
      <c r="O8" s="18" t="s">
        <v>40</v>
      </c>
      <c r="P8" s="18" t="s">
        <v>41</v>
      </c>
    </row>
    <row r="9" hidden="1">
      <c r="A9" s="22" t="s">
        <v>42</v>
      </c>
      <c r="B9" s="23" t="s">
        <v>29</v>
      </c>
      <c r="C9" s="24" t="s">
        <v>30</v>
      </c>
      <c r="D9" s="25">
        <v>55.0</v>
      </c>
      <c r="E9" s="25" t="s">
        <v>31</v>
      </c>
      <c r="F9" s="25" t="s">
        <v>43</v>
      </c>
      <c r="G9" s="27">
        <v>45950.0</v>
      </c>
      <c r="H9" s="25" t="s">
        <v>33</v>
      </c>
      <c r="I9" s="28">
        <v>173.5</v>
      </c>
      <c r="K9" s="15">
        <v>5.0</v>
      </c>
      <c r="L9" s="16" t="s">
        <v>44</v>
      </c>
      <c r="M9" s="16" t="s">
        <v>13</v>
      </c>
      <c r="N9" s="17">
        <v>5000.0</v>
      </c>
      <c r="O9" s="18" t="s">
        <v>45</v>
      </c>
      <c r="P9" s="18" t="s">
        <v>46</v>
      </c>
    </row>
    <row r="10" hidden="1">
      <c r="A10" s="29" t="s">
        <v>47</v>
      </c>
      <c r="B10" s="23" t="s">
        <v>29</v>
      </c>
      <c r="C10" s="24" t="s">
        <v>30</v>
      </c>
      <c r="D10" s="25">
        <v>57.0</v>
      </c>
      <c r="E10" s="25" t="s">
        <v>31</v>
      </c>
      <c r="F10" s="25" t="s">
        <v>48</v>
      </c>
      <c r="G10" s="30">
        <v>45950.0</v>
      </c>
      <c r="H10" s="25" t="s">
        <v>33</v>
      </c>
      <c r="I10" s="31">
        <v>841.5</v>
      </c>
      <c r="K10" s="32" t="s">
        <v>49</v>
      </c>
      <c r="L10" s="33" t="s">
        <v>50</v>
      </c>
      <c r="M10" s="9"/>
      <c r="N10" s="9"/>
      <c r="O10" s="10"/>
      <c r="P10" s="34">
        <v>1727275.0</v>
      </c>
    </row>
    <row r="11" hidden="1">
      <c r="A11" s="29" t="s">
        <v>51</v>
      </c>
      <c r="B11" s="23" t="s">
        <v>29</v>
      </c>
      <c r="C11" s="24" t="s">
        <v>30</v>
      </c>
      <c r="D11" s="25">
        <v>58.0</v>
      </c>
      <c r="E11" s="25" t="s">
        <v>31</v>
      </c>
      <c r="F11" s="25" t="s">
        <v>52</v>
      </c>
      <c r="G11" s="30">
        <v>45950.0</v>
      </c>
      <c r="H11" s="25" t="s">
        <v>33</v>
      </c>
      <c r="I11" s="31">
        <v>797.9</v>
      </c>
      <c r="K11" s="32" t="s">
        <v>49</v>
      </c>
      <c r="L11" s="33" t="s">
        <v>53</v>
      </c>
      <c r="M11" s="9"/>
      <c r="N11" s="9"/>
      <c r="O11" s="10"/>
      <c r="P11" s="35">
        <f>SUM(I:I)</f>
        <v>2025161.16</v>
      </c>
    </row>
    <row r="12" hidden="1">
      <c r="A12" s="29" t="s">
        <v>54</v>
      </c>
      <c r="B12" s="23" t="s">
        <v>29</v>
      </c>
      <c r="C12" s="24" t="s">
        <v>30</v>
      </c>
      <c r="D12" s="25">
        <v>60.0</v>
      </c>
      <c r="E12" s="23" t="s">
        <v>31</v>
      </c>
      <c r="F12" s="25" t="s">
        <v>55</v>
      </c>
      <c r="G12" s="30">
        <v>45950.0</v>
      </c>
      <c r="H12" s="36" t="s">
        <v>33</v>
      </c>
      <c r="I12" s="31">
        <v>10955.47</v>
      </c>
    </row>
    <row r="13" hidden="1">
      <c r="A13" s="29" t="s">
        <v>56</v>
      </c>
      <c r="B13" s="23" t="s">
        <v>29</v>
      </c>
      <c r="C13" s="24" t="s">
        <v>30</v>
      </c>
      <c r="D13" s="25">
        <v>61.0</v>
      </c>
      <c r="E13" s="25" t="s">
        <v>31</v>
      </c>
      <c r="F13" s="25" t="s">
        <v>57</v>
      </c>
      <c r="G13" s="30">
        <v>45950.0</v>
      </c>
      <c r="H13" s="25" t="s">
        <v>33</v>
      </c>
      <c r="I13" s="31">
        <v>10927.77</v>
      </c>
    </row>
    <row r="14" hidden="1">
      <c r="A14" s="29" t="s">
        <v>58</v>
      </c>
      <c r="B14" s="23" t="s">
        <v>29</v>
      </c>
      <c r="C14" s="24" t="s">
        <v>30</v>
      </c>
      <c r="D14" s="25">
        <v>87.0</v>
      </c>
      <c r="E14" s="25" t="s">
        <v>31</v>
      </c>
      <c r="F14" s="26" t="s">
        <v>59</v>
      </c>
      <c r="G14" s="27">
        <v>45960.0</v>
      </c>
      <c r="H14" s="25" t="s">
        <v>33</v>
      </c>
      <c r="I14" s="28">
        <v>9698.71</v>
      </c>
    </row>
    <row r="15" hidden="1">
      <c r="A15" s="22" t="s">
        <v>60</v>
      </c>
      <c r="B15" s="23" t="s">
        <v>29</v>
      </c>
      <c r="C15" s="24" t="s">
        <v>30</v>
      </c>
      <c r="D15" s="25">
        <v>88.0</v>
      </c>
      <c r="E15" s="25" t="s">
        <v>31</v>
      </c>
      <c r="F15" s="26" t="s">
        <v>32</v>
      </c>
      <c r="G15" s="27">
        <v>45960.0</v>
      </c>
      <c r="H15" s="25" t="s">
        <v>33</v>
      </c>
      <c r="I15" s="28">
        <v>84.15</v>
      </c>
      <c r="K15" s="8" t="s">
        <v>61</v>
      </c>
      <c r="L15" s="9"/>
      <c r="M15" s="9"/>
      <c r="N15" s="9"/>
      <c r="O15" s="9"/>
      <c r="P15" s="10"/>
    </row>
    <row r="16" hidden="1">
      <c r="A16" s="22" t="s">
        <v>62</v>
      </c>
      <c r="B16" s="23" t="s">
        <v>29</v>
      </c>
      <c r="C16" s="24" t="s">
        <v>30</v>
      </c>
      <c r="D16" s="25">
        <v>92.0</v>
      </c>
      <c r="E16" s="25" t="s">
        <v>31</v>
      </c>
      <c r="F16" s="26" t="s">
        <v>63</v>
      </c>
      <c r="G16" s="27">
        <v>45961.0</v>
      </c>
      <c r="H16" s="25" t="s">
        <v>33</v>
      </c>
      <c r="I16" s="28">
        <v>536.34</v>
      </c>
      <c r="K16" s="13" t="s">
        <v>5</v>
      </c>
      <c r="L16" s="13" t="s">
        <v>6</v>
      </c>
      <c r="M16" s="13" t="s">
        <v>7</v>
      </c>
      <c r="N16" s="13" t="s">
        <v>8</v>
      </c>
      <c r="O16" s="13" t="s">
        <v>9</v>
      </c>
      <c r="P16" s="13" t="s">
        <v>10</v>
      </c>
    </row>
    <row r="17" hidden="1">
      <c r="A17" s="22" t="s">
        <v>64</v>
      </c>
      <c r="B17" s="23" t="s">
        <v>29</v>
      </c>
      <c r="C17" s="24" t="s">
        <v>30</v>
      </c>
      <c r="D17" s="25">
        <v>93.0</v>
      </c>
      <c r="E17" s="25" t="s">
        <v>31</v>
      </c>
      <c r="F17" s="25" t="s">
        <v>43</v>
      </c>
      <c r="G17" s="27">
        <v>45961.0</v>
      </c>
      <c r="H17" s="25" t="s">
        <v>33</v>
      </c>
      <c r="I17" s="28">
        <v>1496.6</v>
      </c>
      <c r="K17" s="15">
        <v>1.0</v>
      </c>
      <c r="L17" s="16" t="s">
        <v>25</v>
      </c>
      <c r="M17" s="16" t="s">
        <v>13</v>
      </c>
      <c r="N17" s="17">
        <v>32500.0</v>
      </c>
      <c r="O17" s="18">
        <v>6.54</v>
      </c>
      <c r="P17" s="18">
        <v>212550.0</v>
      </c>
    </row>
    <row r="18" hidden="1">
      <c r="A18" s="22" t="s">
        <v>65</v>
      </c>
      <c r="B18" s="23" t="s">
        <v>29</v>
      </c>
      <c r="C18" s="24" t="s">
        <v>30</v>
      </c>
      <c r="D18" s="25">
        <v>95.0</v>
      </c>
      <c r="E18" s="25" t="s">
        <v>31</v>
      </c>
      <c r="F18" s="37" t="s">
        <v>66</v>
      </c>
      <c r="G18" s="27">
        <v>45961.0</v>
      </c>
      <c r="H18" s="25" t="s">
        <v>33</v>
      </c>
      <c r="I18" s="28">
        <v>448.8</v>
      </c>
      <c r="K18" s="15">
        <v>2.0</v>
      </c>
      <c r="L18" s="16" t="s">
        <v>34</v>
      </c>
      <c r="M18" s="16" t="s">
        <v>13</v>
      </c>
      <c r="N18" s="17">
        <v>21875.0</v>
      </c>
      <c r="O18" s="18">
        <v>6.53</v>
      </c>
      <c r="P18" s="18">
        <v>142843.75</v>
      </c>
    </row>
    <row r="19" hidden="1">
      <c r="A19" s="29" t="s">
        <v>67</v>
      </c>
      <c r="B19" s="23" t="s">
        <v>29</v>
      </c>
      <c r="C19" s="24" t="s">
        <v>30</v>
      </c>
      <c r="D19" s="25">
        <v>101.0</v>
      </c>
      <c r="E19" s="25" t="s">
        <v>31</v>
      </c>
      <c r="F19" s="25" t="s">
        <v>68</v>
      </c>
      <c r="G19" s="38">
        <v>45965.0</v>
      </c>
      <c r="H19" s="25" t="s">
        <v>33</v>
      </c>
      <c r="I19" s="31">
        <v>580.0</v>
      </c>
      <c r="K19" s="15">
        <v>3.0</v>
      </c>
      <c r="L19" s="16" t="s">
        <v>39</v>
      </c>
      <c r="M19" s="16" t="s">
        <v>13</v>
      </c>
      <c r="N19" s="17">
        <v>20625.0</v>
      </c>
      <c r="O19" s="18">
        <v>6.32</v>
      </c>
      <c r="P19" s="18">
        <v>130350.0</v>
      </c>
    </row>
    <row r="20" hidden="1">
      <c r="A20" s="29" t="s">
        <v>69</v>
      </c>
      <c r="B20" s="23" t="s">
        <v>29</v>
      </c>
      <c r="C20" s="24" t="s">
        <v>30</v>
      </c>
      <c r="D20" s="25">
        <v>102.0</v>
      </c>
      <c r="E20" s="25" t="s">
        <v>31</v>
      </c>
      <c r="F20" s="25" t="s">
        <v>68</v>
      </c>
      <c r="G20" s="38">
        <v>45965.0</v>
      </c>
      <c r="H20" s="25" t="s">
        <v>33</v>
      </c>
      <c r="I20" s="31">
        <v>168.3</v>
      </c>
      <c r="K20" s="32" t="s">
        <v>49</v>
      </c>
      <c r="L20" s="33" t="s">
        <v>50</v>
      </c>
      <c r="M20" s="9"/>
      <c r="N20" s="9"/>
      <c r="O20" s="10"/>
      <c r="P20" s="34">
        <f>SUM(P17:P19)</f>
        <v>485743.75</v>
      </c>
    </row>
    <row r="21" ht="15.75" hidden="1" customHeight="1">
      <c r="A21" s="29" t="s">
        <v>70</v>
      </c>
      <c r="B21" s="23" t="s">
        <v>29</v>
      </c>
      <c r="C21" s="24" t="s">
        <v>30</v>
      </c>
      <c r="D21" s="25">
        <v>107.0</v>
      </c>
      <c r="E21" s="25" t="s">
        <v>31</v>
      </c>
      <c r="F21" s="25" t="s">
        <v>55</v>
      </c>
      <c r="G21" s="38">
        <v>45967.0</v>
      </c>
      <c r="H21" s="36" t="s">
        <v>33</v>
      </c>
      <c r="I21" s="31">
        <v>3302.41</v>
      </c>
      <c r="K21" s="39"/>
      <c r="L21" s="40"/>
      <c r="M21" s="40"/>
      <c r="N21" s="41"/>
      <c r="O21" s="42"/>
      <c r="P21" s="42"/>
    </row>
    <row r="22" ht="15.75" hidden="1" customHeight="1">
      <c r="A22" s="29" t="s">
        <v>71</v>
      </c>
      <c r="B22" s="23" t="s">
        <v>29</v>
      </c>
      <c r="C22" s="24" t="s">
        <v>30</v>
      </c>
      <c r="D22" s="25">
        <v>108.0</v>
      </c>
      <c r="E22" s="23" t="s">
        <v>31</v>
      </c>
      <c r="F22" s="25" t="s">
        <v>55</v>
      </c>
      <c r="G22" s="38">
        <v>45967.0</v>
      </c>
      <c r="H22" s="36" t="s">
        <v>33</v>
      </c>
      <c r="I22" s="31">
        <v>9314.02</v>
      </c>
    </row>
    <row r="23" ht="15.75" hidden="1" customHeight="1">
      <c r="A23" s="22" t="s">
        <v>72</v>
      </c>
      <c r="B23" s="23" t="s">
        <v>29</v>
      </c>
      <c r="C23" s="24" t="s">
        <v>30</v>
      </c>
      <c r="D23" s="25">
        <v>112.0</v>
      </c>
      <c r="E23" s="25" t="s">
        <v>31</v>
      </c>
      <c r="F23" s="26" t="s">
        <v>32</v>
      </c>
      <c r="G23" s="43">
        <v>45971.0</v>
      </c>
      <c r="H23" s="25" t="s">
        <v>33</v>
      </c>
      <c r="I23" s="28">
        <v>25176.22</v>
      </c>
    </row>
    <row r="24" ht="15.75" hidden="1" customHeight="1">
      <c r="A24" s="22" t="s">
        <v>73</v>
      </c>
      <c r="B24" s="23" t="s">
        <v>29</v>
      </c>
      <c r="C24" s="24" t="s">
        <v>30</v>
      </c>
      <c r="D24" s="25">
        <v>113.0</v>
      </c>
      <c r="E24" s="25" t="s">
        <v>31</v>
      </c>
      <c r="F24" s="26" t="s">
        <v>32</v>
      </c>
      <c r="G24" s="43">
        <v>45971.0</v>
      </c>
      <c r="H24" s="25" t="s">
        <v>33</v>
      </c>
      <c r="I24" s="28">
        <v>60663.07</v>
      </c>
    </row>
    <row r="25" ht="15.75" hidden="1" customHeight="1">
      <c r="A25" s="22" t="s">
        <v>74</v>
      </c>
      <c r="B25" s="23" t="s">
        <v>29</v>
      </c>
      <c r="C25" s="24" t="s">
        <v>30</v>
      </c>
      <c r="D25" s="25">
        <v>114.0</v>
      </c>
      <c r="E25" s="25" t="s">
        <v>31</v>
      </c>
      <c r="F25" s="26" t="s">
        <v>32</v>
      </c>
      <c r="G25" s="43">
        <v>45971.0</v>
      </c>
      <c r="H25" s="25" t="s">
        <v>33</v>
      </c>
      <c r="I25" s="28">
        <v>47.42</v>
      </c>
    </row>
    <row r="26" ht="15.75" hidden="1" customHeight="1">
      <c r="A26" s="22" t="s">
        <v>75</v>
      </c>
      <c r="B26" s="23" t="s">
        <v>29</v>
      </c>
      <c r="C26" s="24" t="s">
        <v>30</v>
      </c>
      <c r="D26" s="25">
        <v>115.0</v>
      </c>
      <c r="E26" s="25" t="s">
        <v>31</v>
      </c>
      <c r="F26" s="26" t="s">
        <v>32</v>
      </c>
      <c r="G26" s="43">
        <v>45971.0</v>
      </c>
      <c r="H26" s="25" t="s">
        <v>33</v>
      </c>
      <c r="I26" s="28">
        <v>461.0</v>
      </c>
    </row>
    <row r="27" ht="15.75" hidden="1" customHeight="1">
      <c r="A27" s="29" t="s">
        <v>76</v>
      </c>
      <c r="B27" s="23" t="s">
        <v>29</v>
      </c>
      <c r="C27" s="24" t="s">
        <v>30</v>
      </c>
      <c r="D27" s="25">
        <v>116.0</v>
      </c>
      <c r="E27" s="25" t="s">
        <v>31</v>
      </c>
      <c r="F27" s="25" t="s">
        <v>57</v>
      </c>
      <c r="G27" s="38">
        <v>45971.0</v>
      </c>
      <c r="H27" s="36" t="s">
        <v>33</v>
      </c>
      <c r="I27" s="31">
        <v>7033.24</v>
      </c>
    </row>
    <row r="28" ht="15.75" hidden="1" customHeight="1">
      <c r="A28" s="29" t="s">
        <v>77</v>
      </c>
      <c r="B28" s="23" t="s">
        <v>29</v>
      </c>
      <c r="C28" s="24" t="s">
        <v>30</v>
      </c>
      <c r="D28" s="25">
        <v>117.0</v>
      </c>
      <c r="E28" s="25" t="s">
        <v>31</v>
      </c>
      <c r="F28" s="25" t="s">
        <v>57</v>
      </c>
      <c r="G28" s="38">
        <v>45971.0</v>
      </c>
      <c r="H28" s="36" t="s">
        <v>33</v>
      </c>
      <c r="I28" s="31">
        <v>16984.17</v>
      </c>
    </row>
    <row r="29" ht="15.75" hidden="1" customHeight="1">
      <c r="A29" s="29" t="s">
        <v>78</v>
      </c>
      <c r="B29" s="23" t="s">
        <v>29</v>
      </c>
      <c r="C29" s="24" t="s">
        <v>30</v>
      </c>
      <c r="D29" s="25">
        <v>118.0</v>
      </c>
      <c r="E29" s="23" t="s">
        <v>31</v>
      </c>
      <c r="F29" s="25" t="s">
        <v>79</v>
      </c>
      <c r="G29" s="38">
        <v>45971.0</v>
      </c>
      <c r="H29" s="36" t="s">
        <v>33</v>
      </c>
      <c r="I29" s="31">
        <v>2335.65</v>
      </c>
    </row>
    <row r="30" ht="15.75" hidden="1" customHeight="1">
      <c r="A30" s="29" t="s">
        <v>80</v>
      </c>
      <c r="B30" s="23" t="s">
        <v>29</v>
      </c>
      <c r="C30" s="24" t="s">
        <v>30</v>
      </c>
      <c r="D30" s="25">
        <v>119.0</v>
      </c>
      <c r="E30" s="23" t="s">
        <v>31</v>
      </c>
      <c r="F30" s="25" t="s">
        <v>79</v>
      </c>
      <c r="G30" s="38">
        <v>45971.0</v>
      </c>
      <c r="H30" s="36" t="s">
        <v>33</v>
      </c>
      <c r="I30" s="31">
        <v>9352.91</v>
      </c>
    </row>
    <row r="31" ht="15.75" hidden="1" customHeight="1">
      <c r="A31" s="29" t="s">
        <v>81</v>
      </c>
      <c r="B31" s="23" t="s">
        <v>29</v>
      </c>
      <c r="C31" s="24" t="s">
        <v>30</v>
      </c>
      <c r="D31" s="25">
        <v>120.0</v>
      </c>
      <c r="E31" s="23" t="s">
        <v>31</v>
      </c>
      <c r="F31" s="25" t="s">
        <v>52</v>
      </c>
      <c r="G31" s="38">
        <v>45971.0</v>
      </c>
      <c r="H31" s="36" t="s">
        <v>33</v>
      </c>
      <c r="I31" s="31">
        <v>1050.65</v>
      </c>
    </row>
    <row r="32" ht="15.75" hidden="1" customHeight="1">
      <c r="A32" s="29" t="s">
        <v>82</v>
      </c>
      <c r="B32" s="23" t="s">
        <v>29</v>
      </c>
      <c r="C32" s="24" t="s">
        <v>30</v>
      </c>
      <c r="D32" s="25">
        <v>121.0</v>
      </c>
      <c r="E32" s="25" t="s">
        <v>31</v>
      </c>
      <c r="F32" s="25" t="s">
        <v>52</v>
      </c>
      <c r="G32" s="38">
        <v>45971.0</v>
      </c>
      <c r="H32" s="36" t="s">
        <v>33</v>
      </c>
      <c r="I32" s="31">
        <v>2608.83</v>
      </c>
    </row>
    <row r="33" ht="15.75" hidden="1" customHeight="1">
      <c r="A33" s="29" t="s">
        <v>83</v>
      </c>
      <c r="B33" s="23" t="s">
        <v>29</v>
      </c>
      <c r="C33" s="24" t="s">
        <v>30</v>
      </c>
      <c r="D33" s="25">
        <v>122.0</v>
      </c>
      <c r="E33" s="23" t="s">
        <v>31</v>
      </c>
      <c r="F33" s="25" t="s">
        <v>48</v>
      </c>
      <c r="G33" s="38">
        <v>45971.0</v>
      </c>
      <c r="H33" s="36" t="s">
        <v>33</v>
      </c>
      <c r="I33" s="31">
        <v>1471.1</v>
      </c>
    </row>
    <row r="34" ht="15.75" hidden="1" customHeight="1">
      <c r="A34" s="29" t="s">
        <v>84</v>
      </c>
      <c r="B34" s="23" t="s">
        <v>29</v>
      </c>
      <c r="C34" s="24" t="s">
        <v>30</v>
      </c>
      <c r="D34" s="25">
        <v>123.0</v>
      </c>
      <c r="E34" s="23" t="s">
        <v>31</v>
      </c>
      <c r="F34" s="25" t="s">
        <v>48</v>
      </c>
      <c r="G34" s="38">
        <v>45971.0</v>
      </c>
      <c r="H34" s="36" t="s">
        <v>33</v>
      </c>
      <c r="I34" s="31">
        <v>2574.0</v>
      </c>
    </row>
    <row r="35" ht="15.75" hidden="1" customHeight="1">
      <c r="A35" s="22" t="s">
        <v>85</v>
      </c>
      <c r="B35" s="23" t="s">
        <v>29</v>
      </c>
      <c r="C35" s="24" t="s">
        <v>30</v>
      </c>
      <c r="D35" s="25">
        <v>124.0</v>
      </c>
      <c r="E35" s="25" t="s">
        <v>31</v>
      </c>
      <c r="F35" s="26" t="s">
        <v>86</v>
      </c>
      <c r="G35" s="43">
        <v>45971.0</v>
      </c>
      <c r="H35" s="25" t="s">
        <v>33</v>
      </c>
      <c r="I35" s="28">
        <v>405.26</v>
      </c>
    </row>
    <row r="36" ht="15.75" hidden="1" customHeight="1">
      <c r="A36" s="29" t="s">
        <v>87</v>
      </c>
      <c r="B36" s="23" t="s">
        <v>29</v>
      </c>
      <c r="C36" s="24" t="s">
        <v>30</v>
      </c>
      <c r="D36" s="25">
        <v>125.0</v>
      </c>
      <c r="E36" s="25" t="s">
        <v>31</v>
      </c>
      <c r="F36" s="25" t="s">
        <v>43</v>
      </c>
      <c r="G36" s="38">
        <v>45971.0</v>
      </c>
      <c r="H36" s="25" t="s">
        <v>33</v>
      </c>
      <c r="I36" s="44">
        <v>207.13</v>
      </c>
    </row>
    <row r="37" ht="15.75" hidden="1" customHeight="1">
      <c r="A37" s="22" t="s">
        <v>88</v>
      </c>
      <c r="B37" s="23" t="s">
        <v>29</v>
      </c>
      <c r="C37" s="24" t="s">
        <v>30</v>
      </c>
      <c r="D37" s="25">
        <v>126.0</v>
      </c>
      <c r="E37" s="25" t="s">
        <v>31</v>
      </c>
      <c r="F37" s="26" t="s">
        <v>86</v>
      </c>
      <c r="G37" s="43">
        <v>45972.0</v>
      </c>
      <c r="H37" s="25" t="s">
        <v>33</v>
      </c>
      <c r="I37" s="28">
        <v>168.3</v>
      </c>
    </row>
    <row r="38" ht="15.75" hidden="1" customHeight="1">
      <c r="A38" s="22" t="s">
        <v>89</v>
      </c>
      <c r="B38" s="23" t="s">
        <v>29</v>
      </c>
      <c r="C38" s="24" t="s">
        <v>30</v>
      </c>
      <c r="D38" s="25">
        <v>127.0</v>
      </c>
      <c r="E38" s="25" t="s">
        <v>31</v>
      </c>
      <c r="F38" s="26" t="s">
        <v>86</v>
      </c>
      <c r="G38" s="43">
        <v>45972.0</v>
      </c>
      <c r="H38" s="25" t="s">
        <v>33</v>
      </c>
      <c r="I38" s="28">
        <v>1225.61</v>
      </c>
    </row>
    <row r="39" ht="15.75" hidden="1" customHeight="1">
      <c r="A39" s="22" t="s">
        <v>90</v>
      </c>
      <c r="B39" s="23" t="s">
        <v>29</v>
      </c>
      <c r="C39" s="24" t="s">
        <v>30</v>
      </c>
      <c r="D39" s="25">
        <v>128.0</v>
      </c>
      <c r="E39" s="25" t="s">
        <v>31</v>
      </c>
      <c r="F39" s="37" t="s">
        <v>91</v>
      </c>
      <c r="G39" s="43">
        <v>45972.0</v>
      </c>
      <c r="H39" s="25" t="s">
        <v>33</v>
      </c>
      <c r="I39" s="28">
        <v>185.16</v>
      </c>
    </row>
    <row r="40" ht="15.75" hidden="1" customHeight="1">
      <c r="A40" s="22" t="s">
        <v>92</v>
      </c>
      <c r="B40" s="23" t="s">
        <v>29</v>
      </c>
      <c r="C40" s="24" t="s">
        <v>30</v>
      </c>
      <c r="D40" s="25">
        <v>129.0</v>
      </c>
      <c r="E40" s="25" t="s">
        <v>31</v>
      </c>
      <c r="F40" s="26" t="s">
        <v>86</v>
      </c>
      <c r="G40" s="43">
        <v>45972.0</v>
      </c>
      <c r="H40" s="25" t="s">
        <v>33</v>
      </c>
      <c r="I40" s="28">
        <v>312.76</v>
      </c>
    </row>
    <row r="41" ht="15.75" hidden="1" customHeight="1">
      <c r="A41" s="29" t="s">
        <v>93</v>
      </c>
      <c r="B41" s="23" t="s">
        <v>29</v>
      </c>
      <c r="C41" s="24" t="s">
        <v>30</v>
      </c>
      <c r="D41" s="25">
        <v>130.0</v>
      </c>
      <c r="E41" s="25" t="s">
        <v>31</v>
      </c>
      <c r="F41" s="26" t="s">
        <v>32</v>
      </c>
      <c r="G41" s="38">
        <v>45972.0</v>
      </c>
      <c r="H41" s="25" t="s">
        <v>33</v>
      </c>
      <c r="I41" s="44">
        <v>174.0</v>
      </c>
    </row>
    <row r="42" ht="15.75" hidden="1" customHeight="1">
      <c r="A42" s="29" t="s">
        <v>94</v>
      </c>
      <c r="B42" s="23" t="s">
        <v>29</v>
      </c>
      <c r="C42" s="24" t="s">
        <v>30</v>
      </c>
      <c r="D42" s="25">
        <v>131.0</v>
      </c>
      <c r="E42" s="25" t="s">
        <v>31</v>
      </c>
      <c r="F42" s="25" t="s">
        <v>43</v>
      </c>
      <c r="G42" s="38">
        <v>45972.0</v>
      </c>
      <c r="H42" s="25" t="s">
        <v>33</v>
      </c>
      <c r="I42" s="44">
        <v>772.77</v>
      </c>
    </row>
    <row r="43" ht="15.75" hidden="1" customHeight="1">
      <c r="A43" s="22" t="s">
        <v>95</v>
      </c>
      <c r="B43" s="23" t="s">
        <v>29</v>
      </c>
      <c r="C43" s="24" t="s">
        <v>30</v>
      </c>
      <c r="D43" s="25">
        <v>132.0</v>
      </c>
      <c r="E43" s="25" t="s">
        <v>31</v>
      </c>
      <c r="F43" s="26" t="s">
        <v>96</v>
      </c>
      <c r="G43" s="43">
        <v>45972.0</v>
      </c>
      <c r="H43" s="25" t="s">
        <v>33</v>
      </c>
      <c r="I43" s="28">
        <v>168.3</v>
      </c>
    </row>
    <row r="44" ht="15.75" hidden="1" customHeight="1">
      <c r="A44" s="29" t="s">
        <v>97</v>
      </c>
      <c r="B44" s="23" t="s">
        <v>29</v>
      </c>
      <c r="C44" s="24" t="s">
        <v>30</v>
      </c>
      <c r="D44" s="25">
        <v>133.0</v>
      </c>
      <c r="E44" s="25" t="s">
        <v>31</v>
      </c>
      <c r="F44" s="26" t="s">
        <v>32</v>
      </c>
      <c r="G44" s="38">
        <v>45972.0</v>
      </c>
      <c r="H44" s="25" t="s">
        <v>33</v>
      </c>
      <c r="I44" s="44">
        <v>406.0</v>
      </c>
    </row>
    <row r="45" ht="15.75" hidden="1" customHeight="1">
      <c r="A45" s="22" t="s">
        <v>98</v>
      </c>
      <c r="B45" s="23" t="s">
        <v>29</v>
      </c>
      <c r="C45" s="24" t="s">
        <v>30</v>
      </c>
      <c r="D45" s="25">
        <v>134.0</v>
      </c>
      <c r="E45" s="25" t="s">
        <v>31</v>
      </c>
      <c r="F45" s="26" t="s">
        <v>86</v>
      </c>
      <c r="G45" s="43">
        <v>45972.0</v>
      </c>
      <c r="H45" s="25" t="s">
        <v>33</v>
      </c>
      <c r="I45" s="28">
        <v>903.0</v>
      </c>
    </row>
    <row r="46" ht="15.75" hidden="1" customHeight="1">
      <c r="A46" s="22" t="s">
        <v>99</v>
      </c>
      <c r="B46" s="23" t="s">
        <v>29</v>
      </c>
      <c r="C46" s="24" t="s">
        <v>30</v>
      </c>
      <c r="D46" s="25">
        <v>135.0</v>
      </c>
      <c r="E46" s="25" t="s">
        <v>31</v>
      </c>
      <c r="F46" s="26" t="s">
        <v>32</v>
      </c>
      <c r="G46" s="43">
        <v>45974.0</v>
      </c>
      <c r="H46" s="25" t="s">
        <v>33</v>
      </c>
      <c r="I46" s="28">
        <v>62665.44</v>
      </c>
    </row>
    <row r="47" ht="15.75" hidden="1" customHeight="1">
      <c r="A47" s="22" t="s">
        <v>100</v>
      </c>
      <c r="B47" s="23" t="s">
        <v>29</v>
      </c>
      <c r="C47" s="24" t="s">
        <v>30</v>
      </c>
      <c r="D47" s="25">
        <v>137.0</v>
      </c>
      <c r="E47" s="25" t="s">
        <v>31</v>
      </c>
      <c r="F47" s="26" t="s">
        <v>101</v>
      </c>
      <c r="G47" s="43">
        <v>45975.0</v>
      </c>
      <c r="H47" s="25" t="s">
        <v>33</v>
      </c>
      <c r="I47" s="28">
        <v>18112.66</v>
      </c>
    </row>
    <row r="48" ht="15.75" hidden="1" customHeight="1">
      <c r="A48" s="29" t="s">
        <v>102</v>
      </c>
      <c r="B48" s="23" t="s">
        <v>29</v>
      </c>
      <c r="C48" s="24" t="s">
        <v>30</v>
      </c>
      <c r="D48" s="25">
        <v>138.0</v>
      </c>
      <c r="E48" s="25" t="s">
        <v>31</v>
      </c>
      <c r="F48" s="25" t="s">
        <v>43</v>
      </c>
      <c r="G48" s="38">
        <v>45975.0</v>
      </c>
      <c r="H48" s="25" t="s">
        <v>33</v>
      </c>
      <c r="I48" s="31">
        <v>1590.24</v>
      </c>
    </row>
    <row r="49" ht="15.75" hidden="1" customHeight="1">
      <c r="A49" s="22" t="s">
        <v>102</v>
      </c>
      <c r="B49" s="23" t="s">
        <v>29</v>
      </c>
      <c r="C49" s="24" t="s">
        <v>30</v>
      </c>
      <c r="D49" s="25">
        <v>138.0</v>
      </c>
      <c r="E49" s="25" t="s">
        <v>31</v>
      </c>
      <c r="F49" s="26" t="s">
        <v>86</v>
      </c>
      <c r="G49" s="43">
        <v>45975.0</v>
      </c>
      <c r="H49" s="25" t="s">
        <v>33</v>
      </c>
      <c r="I49" s="28">
        <v>1590.24</v>
      </c>
    </row>
    <row r="50" ht="15.75" hidden="1" customHeight="1">
      <c r="A50" s="29" t="s">
        <v>103</v>
      </c>
      <c r="B50" s="23" t="s">
        <v>29</v>
      </c>
      <c r="C50" s="24" t="s">
        <v>30</v>
      </c>
      <c r="D50" s="25">
        <v>139.0</v>
      </c>
      <c r="E50" s="25" t="s">
        <v>31</v>
      </c>
      <c r="F50" s="25" t="s">
        <v>43</v>
      </c>
      <c r="G50" s="38">
        <v>45975.0</v>
      </c>
      <c r="H50" s="25" t="s">
        <v>33</v>
      </c>
      <c r="I50" s="31">
        <v>483.11</v>
      </c>
    </row>
    <row r="51" ht="15.75" hidden="1" customHeight="1">
      <c r="A51" s="22" t="s">
        <v>103</v>
      </c>
      <c r="B51" s="23" t="s">
        <v>29</v>
      </c>
      <c r="C51" s="24" t="s">
        <v>30</v>
      </c>
      <c r="D51" s="25">
        <v>139.0</v>
      </c>
      <c r="E51" s="25" t="s">
        <v>31</v>
      </c>
      <c r="F51" s="26" t="s">
        <v>86</v>
      </c>
      <c r="G51" s="43">
        <v>45975.0</v>
      </c>
      <c r="H51" s="25" t="s">
        <v>33</v>
      </c>
      <c r="I51" s="28">
        <v>483.11</v>
      </c>
    </row>
    <row r="52" ht="15.75" hidden="1" customHeight="1">
      <c r="A52" s="22" t="s">
        <v>103</v>
      </c>
      <c r="B52" s="23" t="s">
        <v>29</v>
      </c>
      <c r="C52" s="24" t="s">
        <v>30</v>
      </c>
      <c r="D52" s="25">
        <v>139.0</v>
      </c>
      <c r="E52" s="25" t="s">
        <v>31</v>
      </c>
      <c r="F52" s="26" t="s">
        <v>86</v>
      </c>
      <c r="G52" s="43">
        <v>45975.0</v>
      </c>
      <c r="H52" s="25" t="s">
        <v>33</v>
      </c>
      <c r="I52" s="28">
        <v>483.11</v>
      </c>
    </row>
    <row r="53" ht="15.75" hidden="1" customHeight="1">
      <c r="A53" s="29" t="s">
        <v>104</v>
      </c>
      <c r="B53" s="23" t="s">
        <v>29</v>
      </c>
      <c r="C53" s="24" t="s">
        <v>30</v>
      </c>
      <c r="D53" s="25">
        <v>140.0</v>
      </c>
      <c r="E53" s="25" t="s">
        <v>31</v>
      </c>
      <c r="F53" s="25" t="s">
        <v>43</v>
      </c>
      <c r="G53" s="38">
        <v>45975.0</v>
      </c>
      <c r="H53" s="25" t="s">
        <v>33</v>
      </c>
      <c r="I53" s="31">
        <v>333.98</v>
      </c>
    </row>
    <row r="54" ht="15.75" hidden="1" customHeight="1">
      <c r="A54" s="22" t="s">
        <v>104</v>
      </c>
      <c r="B54" s="23" t="s">
        <v>29</v>
      </c>
      <c r="C54" s="24" t="s">
        <v>30</v>
      </c>
      <c r="D54" s="25">
        <v>140.0</v>
      </c>
      <c r="E54" s="25" t="s">
        <v>31</v>
      </c>
      <c r="F54" s="26" t="s">
        <v>86</v>
      </c>
      <c r="G54" s="43">
        <v>45975.0</v>
      </c>
      <c r="H54" s="25" t="s">
        <v>33</v>
      </c>
      <c r="I54" s="28">
        <v>333.98</v>
      </c>
    </row>
    <row r="55" ht="15.75" hidden="1" customHeight="1">
      <c r="A55" s="29" t="s">
        <v>105</v>
      </c>
      <c r="B55" s="23" t="s">
        <v>29</v>
      </c>
      <c r="C55" s="45" t="s">
        <v>106</v>
      </c>
      <c r="D55" s="25">
        <v>141.0</v>
      </c>
      <c r="E55" s="25" t="s">
        <v>31</v>
      </c>
      <c r="F55" s="25" t="s">
        <v>43</v>
      </c>
      <c r="G55" s="46">
        <v>45975.0</v>
      </c>
      <c r="H55" s="25" t="s">
        <v>33</v>
      </c>
      <c r="I55" s="31">
        <v>1227.18</v>
      </c>
    </row>
    <row r="56" ht="15.75" hidden="1" customHeight="1">
      <c r="A56" s="22" t="s">
        <v>107</v>
      </c>
      <c r="B56" s="23" t="s">
        <v>29</v>
      </c>
      <c r="C56" s="24" t="s">
        <v>30</v>
      </c>
      <c r="D56" s="25">
        <v>142.0</v>
      </c>
      <c r="E56" s="25" t="s">
        <v>31</v>
      </c>
      <c r="F56" s="37" t="s">
        <v>108</v>
      </c>
      <c r="G56" s="43">
        <v>45975.0</v>
      </c>
      <c r="H56" s="25" t="s">
        <v>33</v>
      </c>
      <c r="I56" s="28">
        <v>3432.4</v>
      </c>
    </row>
    <row r="57" ht="15.75" hidden="1" customHeight="1">
      <c r="A57" s="22" t="s">
        <v>109</v>
      </c>
      <c r="B57" s="23" t="s">
        <v>29</v>
      </c>
      <c r="C57" s="24" t="s">
        <v>30</v>
      </c>
      <c r="D57" s="25">
        <v>143.0</v>
      </c>
      <c r="E57" s="25" t="s">
        <v>31</v>
      </c>
      <c r="F57" s="37" t="s">
        <v>108</v>
      </c>
      <c r="G57" s="43">
        <v>45975.0</v>
      </c>
      <c r="H57" s="25" t="s">
        <v>33</v>
      </c>
      <c r="I57" s="28">
        <v>9766.43</v>
      </c>
    </row>
    <row r="58" ht="15.75" hidden="1" customHeight="1">
      <c r="A58" s="22" t="s">
        <v>110</v>
      </c>
      <c r="B58" s="23" t="s">
        <v>29</v>
      </c>
      <c r="C58" s="24" t="s">
        <v>30</v>
      </c>
      <c r="D58" s="25">
        <v>144.0</v>
      </c>
      <c r="E58" s="25" t="s">
        <v>31</v>
      </c>
      <c r="F58" s="37" t="s">
        <v>108</v>
      </c>
      <c r="G58" s="43">
        <v>45975.0</v>
      </c>
      <c r="H58" s="25" t="s">
        <v>33</v>
      </c>
      <c r="I58" s="28">
        <v>6250.18</v>
      </c>
    </row>
    <row r="59" ht="15.75" hidden="1" customHeight="1">
      <c r="A59" s="29" t="s">
        <v>111</v>
      </c>
      <c r="B59" s="23" t="s">
        <v>29</v>
      </c>
      <c r="C59" s="47" t="s">
        <v>112</v>
      </c>
      <c r="D59" s="25">
        <v>163.0</v>
      </c>
      <c r="E59" s="25" t="s">
        <v>31</v>
      </c>
      <c r="F59" s="25" t="s">
        <v>43</v>
      </c>
      <c r="G59" s="46">
        <v>45985.0</v>
      </c>
      <c r="H59" s="25" t="s">
        <v>33</v>
      </c>
      <c r="I59" s="31">
        <v>2466.18</v>
      </c>
    </row>
    <row r="60" ht="15.75" hidden="1" customHeight="1">
      <c r="A60" s="29" t="s">
        <v>113</v>
      </c>
      <c r="B60" s="23" t="s">
        <v>29</v>
      </c>
      <c r="C60" s="24" t="s">
        <v>30</v>
      </c>
      <c r="D60" s="25">
        <v>164.0</v>
      </c>
      <c r="E60" s="25" t="s">
        <v>31</v>
      </c>
      <c r="F60" s="25" t="s">
        <v>43</v>
      </c>
      <c r="G60" s="38">
        <v>45985.0</v>
      </c>
      <c r="H60" s="25" t="s">
        <v>33</v>
      </c>
      <c r="I60" s="31">
        <v>282.02</v>
      </c>
    </row>
    <row r="61" ht="15.75" hidden="1" customHeight="1">
      <c r="A61" s="29" t="s">
        <v>114</v>
      </c>
      <c r="B61" s="23" t="s">
        <v>29</v>
      </c>
      <c r="C61" s="24" t="s">
        <v>30</v>
      </c>
      <c r="D61" s="25">
        <v>181.0</v>
      </c>
      <c r="E61" s="25" t="s">
        <v>31</v>
      </c>
      <c r="F61" s="25" t="s">
        <v>43</v>
      </c>
      <c r="G61" s="38">
        <v>45989.0</v>
      </c>
      <c r="H61" s="25" t="s">
        <v>33</v>
      </c>
      <c r="I61" s="31">
        <v>1131.0</v>
      </c>
    </row>
    <row r="62" ht="15.75" hidden="1" customHeight="1">
      <c r="A62" s="37" t="s">
        <v>115</v>
      </c>
      <c r="B62" s="23" t="s">
        <v>29</v>
      </c>
      <c r="C62" s="24" t="s">
        <v>30</v>
      </c>
      <c r="D62" s="25">
        <v>136.0</v>
      </c>
      <c r="E62" s="25" t="s">
        <v>31</v>
      </c>
      <c r="F62" s="37" t="s">
        <v>116</v>
      </c>
      <c r="G62" s="43">
        <v>45975.0</v>
      </c>
      <c r="H62" s="25" t="s">
        <v>33</v>
      </c>
      <c r="I62" s="28">
        <v>17367.63</v>
      </c>
    </row>
    <row r="63" ht="15.75" hidden="1" customHeight="1">
      <c r="A63" s="37" t="s">
        <v>117</v>
      </c>
      <c r="B63" s="23" t="s">
        <v>29</v>
      </c>
      <c r="C63" s="24" t="s">
        <v>30</v>
      </c>
      <c r="D63" s="26">
        <v>163.0</v>
      </c>
      <c r="E63" s="25" t="s">
        <v>31</v>
      </c>
      <c r="F63" s="26" t="s">
        <v>32</v>
      </c>
      <c r="G63" s="43">
        <v>45985.0</v>
      </c>
      <c r="H63" s="25" t="s">
        <v>33</v>
      </c>
      <c r="I63" s="28">
        <v>2466.18</v>
      </c>
    </row>
    <row r="64" ht="15.75" hidden="1" customHeight="1">
      <c r="A64" s="26" t="s">
        <v>113</v>
      </c>
      <c r="B64" s="23" t="s">
        <v>29</v>
      </c>
      <c r="C64" s="24" t="s">
        <v>30</v>
      </c>
      <c r="D64" s="26">
        <v>164.0</v>
      </c>
      <c r="E64" s="25" t="s">
        <v>31</v>
      </c>
      <c r="F64" s="25" t="s">
        <v>43</v>
      </c>
      <c r="G64" s="43">
        <v>45985.0</v>
      </c>
      <c r="H64" s="25" t="s">
        <v>33</v>
      </c>
      <c r="I64" s="28">
        <v>282.02</v>
      </c>
    </row>
    <row r="65" ht="15.75" hidden="1" customHeight="1">
      <c r="A65" s="37" t="s">
        <v>114</v>
      </c>
      <c r="B65" s="23" t="s">
        <v>29</v>
      </c>
      <c r="C65" s="24" t="s">
        <v>30</v>
      </c>
      <c r="D65" s="26">
        <v>181.0</v>
      </c>
      <c r="E65" s="25" t="s">
        <v>31</v>
      </c>
      <c r="F65" s="25" t="s">
        <v>43</v>
      </c>
      <c r="G65" s="43">
        <v>45989.0</v>
      </c>
      <c r="H65" s="25" t="s">
        <v>33</v>
      </c>
      <c r="I65" s="28">
        <v>1131.0</v>
      </c>
    </row>
    <row r="66" ht="15.75" hidden="1" customHeight="1">
      <c r="A66" s="37" t="s">
        <v>118</v>
      </c>
      <c r="B66" s="23" t="s">
        <v>29</v>
      </c>
      <c r="C66" s="24" t="s">
        <v>30</v>
      </c>
      <c r="D66" s="26">
        <v>196.0</v>
      </c>
      <c r="E66" s="25" t="s">
        <v>31</v>
      </c>
      <c r="F66" s="25" t="s">
        <v>119</v>
      </c>
      <c r="G66" s="48">
        <v>45995.0</v>
      </c>
      <c r="H66" s="25" t="s">
        <v>33</v>
      </c>
      <c r="I66" s="28">
        <v>4691.67</v>
      </c>
    </row>
    <row r="67" ht="15.75" hidden="1" customHeight="1">
      <c r="A67" s="49" t="s">
        <v>120</v>
      </c>
      <c r="B67" s="23" t="s">
        <v>29</v>
      </c>
      <c r="C67" s="24" t="s">
        <v>30</v>
      </c>
      <c r="D67" s="26">
        <v>198.0</v>
      </c>
      <c r="E67" s="25" t="s">
        <v>31</v>
      </c>
      <c r="F67" s="25" t="s">
        <v>52</v>
      </c>
      <c r="G67" s="48">
        <v>45995.0</v>
      </c>
      <c r="H67" s="25" t="s">
        <v>33</v>
      </c>
      <c r="I67" s="28">
        <v>11861.25</v>
      </c>
    </row>
    <row r="68" ht="15.75" hidden="1" customHeight="1">
      <c r="A68" s="26" t="s">
        <v>121</v>
      </c>
      <c r="B68" s="23" t="s">
        <v>29</v>
      </c>
      <c r="C68" s="24" t="s">
        <v>30</v>
      </c>
      <c r="D68" s="26">
        <v>197.0</v>
      </c>
      <c r="E68" s="25" t="s">
        <v>31</v>
      </c>
      <c r="F68" s="25" t="s">
        <v>79</v>
      </c>
      <c r="G68" s="48">
        <v>45995.0</v>
      </c>
      <c r="H68" s="25" t="s">
        <v>33</v>
      </c>
      <c r="I68" s="28">
        <v>1821.2</v>
      </c>
    </row>
    <row r="69" ht="15.75" hidden="1" customHeight="1">
      <c r="A69" s="26" t="s">
        <v>122</v>
      </c>
      <c r="B69" s="23" t="s">
        <v>29</v>
      </c>
      <c r="C69" s="24" t="s">
        <v>30</v>
      </c>
      <c r="D69" s="26">
        <v>203.0</v>
      </c>
      <c r="E69" s="25" t="s">
        <v>31</v>
      </c>
      <c r="F69" s="26" t="s">
        <v>32</v>
      </c>
      <c r="G69" s="48">
        <v>46001.0</v>
      </c>
      <c r="H69" s="25" t="s">
        <v>33</v>
      </c>
      <c r="I69" s="28">
        <v>68342.71</v>
      </c>
    </row>
    <row r="70" ht="15.75" hidden="1" customHeight="1">
      <c r="A70" s="37" t="s">
        <v>123</v>
      </c>
      <c r="B70" s="23" t="s">
        <v>29</v>
      </c>
      <c r="C70" s="24" t="s">
        <v>30</v>
      </c>
      <c r="D70" s="26">
        <v>190.0</v>
      </c>
      <c r="E70" s="25" t="s">
        <v>31</v>
      </c>
      <c r="F70" s="25" t="s">
        <v>55</v>
      </c>
      <c r="G70" s="48">
        <v>45993.0</v>
      </c>
      <c r="H70" s="25" t="s">
        <v>33</v>
      </c>
      <c r="I70" s="28">
        <v>8969.67</v>
      </c>
    </row>
    <row r="71" ht="15.75" hidden="1" customHeight="1">
      <c r="A71" s="37" t="s">
        <v>124</v>
      </c>
      <c r="B71" s="23" t="s">
        <v>29</v>
      </c>
      <c r="C71" s="24" t="s">
        <v>30</v>
      </c>
      <c r="D71" s="26">
        <v>192.0</v>
      </c>
      <c r="E71" s="25" t="s">
        <v>31</v>
      </c>
      <c r="F71" s="25" t="s">
        <v>125</v>
      </c>
      <c r="G71" s="48">
        <v>45993.0</v>
      </c>
      <c r="H71" s="25" t="s">
        <v>33</v>
      </c>
      <c r="I71" s="28">
        <v>23243.48</v>
      </c>
    </row>
    <row r="72" ht="15.75" hidden="1" customHeight="1">
      <c r="A72" s="26" t="s">
        <v>126</v>
      </c>
      <c r="B72" s="23" t="s">
        <v>29</v>
      </c>
      <c r="C72" s="24" t="s">
        <v>30</v>
      </c>
      <c r="D72" s="26">
        <v>182.0</v>
      </c>
      <c r="E72" s="25" t="s">
        <v>31</v>
      </c>
      <c r="F72" s="25" t="s">
        <v>43</v>
      </c>
      <c r="G72" s="48">
        <v>45989.0</v>
      </c>
      <c r="H72" s="25" t="s">
        <v>33</v>
      </c>
      <c r="I72" s="28">
        <v>600.93</v>
      </c>
    </row>
    <row r="73" ht="15.75" hidden="1" customHeight="1">
      <c r="A73" s="37" t="s">
        <v>127</v>
      </c>
      <c r="B73" s="23" t="s">
        <v>29</v>
      </c>
      <c r="C73" s="24" t="s">
        <v>30</v>
      </c>
      <c r="D73" s="26">
        <v>183.0</v>
      </c>
      <c r="E73" s="25" t="s">
        <v>31</v>
      </c>
      <c r="F73" s="25" t="s">
        <v>128</v>
      </c>
      <c r="G73" s="48">
        <v>45989.0</v>
      </c>
      <c r="H73" s="25" t="s">
        <v>33</v>
      </c>
      <c r="I73" s="28">
        <v>116.0</v>
      </c>
    </row>
    <row r="74" ht="15.75" hidden="1" customHeight="1">
      <c r="A74" s="37" t="s">
        <v>129</v>
      </c>
      <c r="B74" s="23" t="s">
        <v>29</v>
      </c>
      <c r="C74" s="24" t="s">
        <v>30</v>
      </c>
      <c r="D74" s="26">
        <v>202.0</v>
      </c>
      <c r="E74" s="25" t="s">
        <v>31</v>
      </c>
      <c r="F74" s="25" t="s">
        <v>130</v>
      </c>
      <c r="G74" s="48">
        <v>45999.0</v>
      </c>
      <c r="H74" s="25" t="s">
        <v>33</v>
      </c>
      <c r="I74" s="28">
        <v>986.0</v>
      </c>
    </row>
    <row r="75" ht="15.75" hidden="1" customHeight="1">
      <c r="A75" s="26" t="s">
        <v>131</v>
      </c>
      <c r="B75" s="23" t="s">
        <v>29</v>
      </c>
      <c r="C75" s="24" t="s">
        <v>30</v>
      </c>
      <c r="D75" s="26">
        <v>201.0</v>
      </c>
      <c r="E75" s="25" t="s">
        <v>31</v>
      </c>
      <c r="F75" s="25" t="s">
        <v>132</v>
      </c>
      <c r="G75" s="48">
        <v>45999.0</v>
      </c>
      <c r="H75" s="25" t="s">
        <v>33</v>
      </c>
      <c r="I75" s="28">
        <v>1252.99</v>
      </c>
    </row>
    <row r="76" ht="15.75" hidden="1" customHeight="1">
      <c r="A76" s="37" t="s">
        <v>133</v>
      </c>
      <c r="B76" s="23" t="s">
        <v>29</v>
      </c>
      <c r="C76" s="24" t="s">
        <v>30</v>
      </c>
      <c r="D76" s="26">
        <v>207.0</v>
      </c>
      <c r="E76" s="25" t="s">
        <v>31</v>
      </c>
      <c r="F76" s="25" t="s">
        <v>52</v>
      </c>
      <c r="G76" s="48">
        <v>46003.0</v>
      </c>
      <c r="H76" s="25" t="s">
        <v>33</v>
      </c>
      <c r="I76" s="28">
        <v>8695.84</v>
      </c>
    </row>
    <row r="77" ht="15.75" hidden="1" customHeight="1">
      <c r="A77" s="26" t="s">
        <v>134</v>
      </c>
      <c r="B77" s="23" t="s">
        <v>29</v>
      </c>
      <c r="C77" s="24" t="s">
        <v>30</v>
      </c>
      <c r="D77" s="26">
        <v>206.0</v>
      </c>
      <c r="E77" s="25" t="s">
        <v>31</v>
      </c>
      <c r="F77" s="25" t="s">
        <v>48</v>
      </c>
      <c r="G77" s="48">
        <v>46003.0</v>
      </c>
      <c r="H77" s="25" t="s">
        <v>33</v>
      </c>
      <c r="I77" s="28">
        <v>3896.64</v>
      </c>
    </row>
    <row r="78" ht="15.75" hidden="1" customHeight="1">
      <c r="A78" s="26" t="s">
        <v>135</v>
      </c>
      <c r="B78" s="23" t="s">
        <v>29</v>
      </c>
      <c r="C78" s="24" t="s">
        <v>30</v>
      </c>
      <c r="D78" s="26">
        <v>208.0</v>
      </c>
      <c r="E78" s="25" t="s">
        <v>31</v>
      </c>
      <c r="F78" s="25" t="s">
        <v>79</v>
      </c>
      <c r="G78" s="48">
        <v>46003.0</v>
      </c>
      <c r="H78" s="25" t="s">
        <v>33</v>
      </c>
      <c r="I78" s="28">
        <v>1235.4</v>
      </c>
    </row>
    <row r="79" ht="15.75" hidden="1" customHeight="1">
      <c r="A79" s="37" t="s">
        <v>136</v>
      </c>
      <c r="B79" s="23" t="s">
        <v>29</v>
      </c>
      <c r="C79" s="24" t="s">
        <v>30</v>
      </c>
      <c r="D79" s="26">
        <v>211.0</v>
      </c>
      <c r="E79" s="25" t="s">
        <v>31</v>
      </c>
      <c r="F79" s="26" t="s">
        <v>32</v>
      </c>
      <c r="G79" s="48">
        <v>46003.0</v>
      </c>
      <c r="H79" s="25" t="s">
        <v>33</v>
      </c>
      <c r="I79" s="28">
        <v>51286.06</v>
      </c>
    </row>
    <row r="80" ht="15.75" hidden="1" customHeight="1">
      <c r="A80" s="26" t="s">
        <v>137</v>
      </c>
      <c r="B80" s="23" t="s">
        <v>29</v>
      </c>
      <c r="C80" s="24" t="s">
        <v>30</v>
      </c>
      <c r="D80" s="26">
        <v>209.0</v>
      </c>
      <c r="E80" s="25" t="s">
        <v>31</v>
      </c>
      <c r="F80" s="25" t="s">
        <v>55</v>
      </c>
      <c r="G80" s="48">
        <v>46003.0</v>
      </c>
      <c r="H80" s="25" t="s">
        <v>33</v>
      </c>
      <c r="I80" s="28">
        <v>7094.4</v>
      </c>
    </row>
    <row r="81" ht="15.75" hidden="1" customHeight="1">
      <c r="A81" s="26" t="s">
        <v>138</v>
      </c>
      <c r="B81" s="23" t="s">
        <v>29</v>
      </c>
      <c r="C81" s="24" t="s">
        <v>30</v>
      </c>
      <c r="D81" s="26">
        <v>210.0</v>
      </c>
      <c r="E81" s="25" t="s">
        <v>31</v>
      </c>
      <c r="F81" s="25" t="s">
        <v>55</v>
      </c>
      <c r="G81" s="48">
        <v>46003.0</v>
      </c>
      <c r="H81" s="25" t="s">
        <v>33</v>
      </c>
      <c r="I81" s="28">
        <v>20917.1</v>
      </c>
    </row>
    <row r="82" ht="15.75" hidden="1" customHeight="1">
      <c r="A82" s="26" t="s">
        <v>139</v>
      </c>
      <c r="B82" s="23" t="s">
        <v>29</v>
      </c>
      <c r="C82" s="24" t="s">
        <v>30</v>
      </c>
      <c r="D82" s="26">
        <v>200.0</v>
      </c>
      <c r="E82" s="25" t="s">
        <v>31</v>
      </c>
      <c r="F82" s="25" t="s">
        <v>140</v>
      </c>
      <c r="G82" s="48">
        <v>45999.0</v>
      </c>
      <c r="H82" s="25" t="s">
        <v>33</v>
      </c>
      <c r="I82" s="28">
        <v>1135.38</v>
      </c>
    </row>
    <row r="83" ht="15.75" hidden="1" customHeight="1">
      <c r="A83" s="50" t="s">
        <v>141</v>
      </c>
      <c r="B83" s="51" t="s">
        <v>142</v>
      </c>
      <c r="C83" s="52" t="s">
        <v>30</v>
      </c>
      <c r="D83" s="53">
        <v>262.0</v>
      </c>
      <c r="E83" s="54" t="s">
        <v>31</v>
      </c>
      <c r="F83" s="54" t="s">
        <v>119</v>
      </c>
      <c r="G83" s="55">
        <v>45993.0</v>
      </c>
      <c r="H83" s="54" t="s">
        <v>33</v>
      </c>
      <c r="I83" s="56">
        <v>1415.03</v>
      </c>
    </row>
    <row r="84" ht="15.75" hidden="1" customHeight="1">
      <c r="A84" s="50" t="s">
        <v>143</v>
      </c>
      <c r="B84" s="51" t="s">
        <v>142</v>
      </c>
      <c r="C84" s="52" t="s">
        <v>30</v>
      </c>
      <c r="D84" s="53">
        <v>263.0</v>
      </c>
      <c r="E84" s="54" t="s">
        <v>31</v>
      </c>
      <c r="F84" s="54" t="s">
        <v>55</v>
      </c>
      <c r="G84" s="55">
        <v>45993.0</v>
      </c>
      <c r="H84" s="54" t="s">
        <v>33</v>
      </c>
      <c r="I84" s="56">
        <v>817.55</v>
      </c>
    </row>
    <row r="85" ht="15.75" hidden="1" customHeight="1">
      <c r="A85" s="50" t="s">
        <v>144</v>
      </c>
      <c r="B85" s="51" t="s">
        <v>145</v>
      </c>
      <c r="C85" s="57" t="s">
        <v>30</v>
      </c>
      <c r="D85" s="53">
        <v>264.0</v>
      </c>
      <c r="E85" s="54" t="s">
        <v>31</v>
      </c>
      <c r="F85" s="53" t="s">
        <v>146</v>
      </c>
      <c r="G85" s="55">
        <v>45993.0</v>
      </c>
      <c r="H85" s="54" t="s">
        <v>33</v>
      </c>
      <c r="I85" s="56">
        <v>19380.03</v>
      </c>
    </row>
    <row r="86" ht="15.75" hidden="1" customHeight="1">
      <c r="A86" s="50" t="s">
        <v>147</v>
      </c>
      <c r="B86" s="51" t="s">
        <v>142</v>
      </c>
      <c r="C86" s="52" t="s">
        <v>30</v>
      </c>
      <c r="D86" s="53">
        <v>265.0</v>
      </c>
      <c r="E86" s="54" t="s">
        <v>31</v>
      </c>
      <c r="F86" s="54" t="s">
        <v>148</v>
      </c>
      <c r="G86" s="55">
        <v>45993.0</v>
      </c>
      <c r="H86" s="54" t="s">
        <v>33</v>
      </c>
      <c r="I86" s="56">
        <v>2215.96</v>
      </c>
    </row>
    <row r="87" ht="15.75" hidden="1" customHeight="1">
      <c r="A87" s="26" t="s">
        <v>149</v>
      </c>
      <c r="B87" s="23" t="s">
        <v>29</v>
      </c>
      <c r="C87" s="24" t="s">
        <v>30</v>
      </c>
      <c r="D87" s="26">
        <v>240.0</v>
      </c>
      <c r="E87" s="25" t="s">
        <v>31</v>
      </c>
      <c r="F87" s="26" t="s">
        <v>91</v>
      </c>
      <c r="G87" s="48">
        <v>46014.0</v>
      </c>
      <c r="H87" s="25" t="s">
        <v>33</v>
      </c>
      <c r="I87" s="28">
        <v>556.81</v>
      </c>
    </row>
    <row r="88" ht="15.75" hidden="1" customHeight="1">
      <c r="A88" s="26" t="s">
        <v>150</v>
      </c>
      <c r="B88" s="23" t="s">
        <v>29</v>
      </c>
      <c r="C88" s="24" t="s">
        <v>30</v>
      </c>
      <c r="D88" s="26">
        <v>231.0</v>
      </c>
      <c r="E88" s="25" t="s">
        <v>31</v>
      </c>
      <c r="F88" s="26" t="s">
        <v>63</v>
      </c>
      <c r="G88" s="48">
        <v>46014.0</v>
      </c>
      <c r="H88" s="25" t="s">
        <v>33</v>
      </c>
      <c r="I88" s="28">
        <v>1247.11</v>
      </c>
    </row>
    <row r="89" ht="15.75" hidden="1" customHeight="1">
      <c r="A89" s="26" t="s">
        <v>151</v>
      </c>
      <c r="B89" s="23" t="s">
        <v>29</v>
      </c>
      <c r="C89" s="24" t="s">
        <v>30</v>
      </c>
      <c r="D89" s="26">
        <v>230.0</v>
      </c>
      <c r="E89" s="25" t="s">
        <v>31</v>
      </c>
      <c r="F89" s="26" t="s">
        <v>86</v>
      </c>
      <c r="G89" s="48">
        <v>46014.0</v>
      </c>
      <c r="H89" s="25" t="s">
        <v>33</v>
      </c>
      <c r="I89" s="28">
        <v>1735.1</v>
      </c>
    </row>
    <row r="90" ht="15.75" hidden="1" customHeight="1">
      <c r="A90" s="26" t="s">
        <v>152</v>
      </c>
      <c r="B90" s="23" t="s">
        <v>29</v>
      </c>
      <c r="C90" s="24" t="s">
        <v>30</v>
      </c>
      <c r="D90" s="26">
        <v>233.0</v>
      </c>
      <c r="E90" s="25" t="s">
        <v>31</v>
      </c>
      <c r="F90" s="37" t="s">
        <v>153</v>
      </c>
      <c r="G90" s="48">
        <v>46014.0</v>
      </c>
      <c r="H90" s="25" t="s">
        <v>33</v>
      </c>
      <c r="I90" s="28">
        <v>10066.59</v>
      </c>
    </row>
    <row r="91" ht="15.75" hidden="1" customHeight="1">
      <c r="A91" s="26" t="s">
        <v>154</v>
      </c>
      <c r="B91" s="23" t="s">
        <v>29</v>
      </c>
      <c r="C91" s="24" t="s">
        <v>30</v>
      </c>
      <c r="D91" s="26">
        <v>234.0</v>
      </c>
      <c r="E91" s="25" t="s">
        <v>31</v>
      </c>
      <c r="F91" s="37" t="s">
        <v>153</v>
      </c>
      <c r="G91" s="48">
        <v>46014.0</v>
      </c>
      <c r="H91" s="25" t="s">
        <v>33</v>
      </c>
      <c r="I91" s="28">
        <v>20135.42</v>
      </c>
    </row>
    <row r="92" ht="15.75" hidden="1" customHeight="1">
      <c r="A92" s="26" t="s">
        <v>155</v>
      </c>
      <c r="B92" s="23" t="s">
        <v>29</v>
      </c>
      <c r="C92" s="24" t="s">
        <v>30</v>
      </c>
      <c r="D92" s="26">
        <v>235.0</v>
      </c>
      <c r="E92" s="25" t="s">
        <v>31</v>
      </c>
      <c r="F92" s="37" t="s">
        <v>59</v>
      </c>
      <c r="G92" s="48">
        <v>46014.0</v>
      </c>
      <c r="H92" s="25" t="s">
        <v>33</v>
      </c>
      <c r="I92" s="28">
        <v>3781.0</v>
      </c>
    </row>
    <row r="93" ht="15.75" hidden="1" customHeight="1">
      <c r="A93" s="26" t="s">
        <v>156</v>
      </c>
      <c r="B93" s="23" t="s">
        <v>29</v>
      </c>
      <c r="C93" s="24" t="s">
        <v>30</v>
      </c>
      <c r="D93" s="26">
        <v>237.0</v>
      </c>
      <c r="E93" s="25" t="s">
        <v>31</v>
      </c>
      <c r="F93" s="37" t="s">
        <v>59</v>
      </c>
      <c r="G93" s="48">
        <v>46014.0</v>
      </c>
      <c r="H93" s="25" t="s">
        <v>33</v>
      </c>
      <c r="I93" s="28">
        <v>1200.66</v>
      </c>
    </row>
    <row r="94" ht="15.75" hidden="1" customHeight="1">
      <c r="A94" s="26" t="s">
        <v>157</v>
      </c>
      <c r="B94" s="23" t="s">
        <v>29</v>
      </c>
      <c r="C94" s="24" t="s">
        <v>30</v>
      </c>
      <c r="D94" s="26">
        <v>236.0</v>
      </c>
      <c r="E94" s="25" t="s">
        <v>31</v>
      </c>
      <c r="F94" s="37" t="s">
        <v>59</v>
      </c>
      <c r="G94" s="48">
        <v>46014.0</v>
      </c>
      <c r="H94" s="25" t="s">
        <v>33</v>
      </c>
      <c r="I94" s="28">
        <v>11462.92</v>
      </c>
    </row>
    <row r="95" ht="15.75" hidden="1" customHeight="1">
      <c r="A95" s="26" t="s">
        <v>158</v>
      </c>
      <c r="B95" s="23" t="s">
        <v>29</v>
      </c>
      <c r="C95" s="24" t="s">
        <v>30</v>
      </c>
      <c r="D95" s="26">
        <v>238.0</v>
      </c>
      <c r="E95" s="25" t="s">
        <v>31</v>
      </c>
      <c r="F95" s="37" t="s">
        <v>32</v>
      </c>
      <c r="G95" s="48">
        <v>46014.0</v>
      </c>
      <c r="H95" s="25" t="s">
        <v>33</v>
      </c>
      <c r="I95" s="28">
        <v>72420.21</v>
      </c>
    </row>
    <row r="96" ht="15.75" hidden="1" customHeight="1">
      <c r="A96" s="26" t="s">
        <v>159</v>
      </c>
      <c r="B96" s="23" t="s">
        <v>29</v>
      </c>
      <c r="C96" s="24" t="s">
        <v>30</v>
      </c>
      <c r="D96" s="26">
        <v>244.0</v>
      </c>
      <c r="E96" s="25" t="s">
        <v>31</v>
      </c>
      <c r="F96" s="37" t="s">
        <v>160</v>
      </c>
      <c r="G96" s="48">
        <v>46020.0</v>
      </c>
      <c r="H96" s="25" t="s">
        <v>33</v>
      </c>
      <c r="I96" s="28">
        <v>39540.65</v>
      </c>
    </row>
    <row r="97" ht="15.75" hidden="1" customHeight="1">
      <c r="A97" s="26" t="s">
        <v>161</v>
      </c>
      <c r="B97" s="23" t="s">
        <v>29</v>
      </c>
      <c r="C97" s="24" t="s">
        <v>30</v>
      </c>
      <c r="D97" s="26">
        <v>245.0</v>
      </c>
      <c r="E97" s="25" t="s">
        <v>31</v>
      </c>
      <c r="F97" s="37" t="s">
        <v>162</v>
      </c>
      <c r="G97" s="48">
        <v>46020.0</v>
      </c>
      <c r="H97" s="25" t="s">
        <v>33</v>
      </c>
      <c r="I97" s="28">
        <v>5911.7</v>
      </c>
    </row>
    <row r="98" ht="15.75" hidden="1" customHeight="1">
      <c r="A98" s="26" t="s">
        <v>163</v>
      </c>
      <c r="B98" s="23" t="s">
        <v>29</v>
      </c>
      <c r="C98" s="24" t="s">
        <v>30</v>
      </c>
      <c r="D98" s="26">
        <v>247.0</v>
      </c>
      <c r="E98" s="25" t="s">
        <v>31</v>
      </c>
      <c r="F98" s="37" t="s">
        <v>59</v>
      </c>
      <c r="G98" s="48">
        <v>46020.0</v>
      </c>
      <c r="H98" s="25" t="s">
        <v>33</v>
      </c>
      <c r="I98" s="28">
        <v>2784.0</v>
      </c>
    </row>
    <row r="99" ht="15.75" hidden="1" customHeight="1">
      <c r="A99" s="26" t="s">
        <v>164</v>
      </c>
      <c r="B99" s="23" t="s">
        <v>29</v>
      </c>
      <c r="C99" s="24" t="s">
        <v>30</v>
      </c>
      <c r="D99" s="26">
        <v>248.0</v>
      </c>
      <c r="E99" s="25" t="s">
        <v>31</v>
      </c>
      <c r="F99" s="37" t="s">
        <v>59</v>
      </c>
      <c r="G99" s="48">
        <v>46020.0</v>
      </c>
      <c r="H99" s="25" t="s">
        <v>33</v>
      </c>
      <c r="I99" s="28">
        <v>498.5</v>
      </c>
    </row>
    <row r="100" ht="15.75" hidden="1" customHeight="1">
      <c r="A100" s="26" t="s">
        <v>165</v>
      </c>
      <c r="B100" s="23" t="s">
        <v>29</v>
      </c>
      <c r="C100" s="24" t="s">
        <v>30</v>
      </c>
      <c r="D100" s="26">
        <v>253.0</v>
      </c>
      <c r="E100" s="25" t="s">
        <v>31</v>
      </c>
      <c r="F100" s="25" t="s">
        <v>55</v>
      </c>
      <c r="G100" s="48">
        <v>46020.0</v>
      </c>
      <c r="H100" s="25" t="s">
        <v>33</v>
      </c>
      <c r="I100" s="28">
        <v>2402.91</v>
      </c>
    </row>
    <row r="101" ht="15.75" hidden="1" customHeight="1">
      <c r="A101" s="37" t="s">
        <v>166</v>
      </c>
      <c r="B101" s="23" t="s">
        <v>29</v>
      </c>
      <c r="C101" s="24" t="s">
        <v>30</v>
      </c>
      <c r="D101" s="26">
        <v>249.0</v>
      </c>
      <c r="E101" s="25" t="s">
        <v>31</v>
      </c>
      <c r="F101" s="25" t="s">
        <v>125</v>
      </c>
      <c r="G101" s="48">
        <v>46020.0</v>
      </c>
      <c r="H101" s="25" t="s">
        <v>33</v>
      </c>
      <c r="I101" s="28">
        <v>1760.4</v>
      </c>
    </row>
    <row r="102" ht="15.75" hidden="1" customHeight="1">
      <c r="A102" s="50" t="s">
        <v>167</v>
      </c>
      <c r="B102" s="51" t="s">
        <v>142</v>
      </c>
      <c r="C102" s="57" t="s">
        <v>30</v>
      </c>
      <c r="D102" s="53">
        <v>223.0</v>
      </c>
      <c r="E102" s="54" t="s">
        <v>31</v>
      </c>
      <c r="F102" s="53" t="s">
        <v>146</v>
      </c>
      <c r="G102" s="55">
        <v>45993.0</v>
      </c>
      <c r="H102" s="54" t="s">
        <v>33</v>
      </c>
      <c r="I102" s="56">
        <v>58.0</v>
      </c>
    </row>
    <row r="103" ht="15.75" hidden="1" customHeight="1">
      <c r="A103" s="26" t="s">
        <v>168</v>
      </c>
      <c r="B103" s="58" t="s">
        <v>145</v>
      </c>
      <c r="C103" s="57" t="s">
        <v>30</v>
      </c>
      <c r="D103" s="26">
        <v>246.0</v>
      </c>
      <c r="E103" s="25" t="s">
        <v>31</v>
      </c>
      <c r="F103" s="25" t="s">
        <v>169</v>
      </c>
      <c r="G103" s="48">
        <v>45993.0</v>
      </c>
      <c r="H103" s="25" t="s">
        <v>33</v>
      </c>
      <c r="I103" s="28">
        <v>240.8</v>
      </c>
    </row>
    <row r="104" ht="15.75" hidden="1" customHeight="1">
      <c r="A104" s="26" t="s">
        <v>170</v>
      </c>
      <c r="B104" s="58" t="s">
        <v>145</v>
      </c>
      <c r="C104" s="57" t="s">
        <v>30</v>
      </c>
      <c r="D104" s="26">
        <v>250.0</v>
      </c>
      <c r="E104" s="25" t="s">
        <v>31</v>
      </c>
      <c r="F104" s="25" t="s">
        <v>140</v>
      </c>
      <c r="G104" s="48">
        <v>45993.0</v>
      </c>
      <c r="H104" s="25" t="s">
        <v>33</v>
      </c>
      <c r="I104" s="28">
        <v>528.59</v>
      </c>
    </row>
    <row r="105" ht="15.75" hidden="1" customHeight="1">
      <c r="A105" s="26" t="s">
        <v>171</v>
      </c>
      <c r="B105" s="58" t="s">
        <v>145</v>
      </c>
      <c r="C105" s="57" t="s">
        <v>30</v>
      </c>
      <c r="D105" s="26">
        <v>251.0</v>
      </c>
      <c r="E105" s="25" t="s">
        <v>31</v>
      </c>
      <c r="F105" s="25" t="s">
        <v>130</v>
      </c>
      <c r="G105" s="48">
        <v>45993.0</v>
      </c>
      <c r="H105" s="25" t="s">
        <v>33</v>
      </c>
      <c r="I105" s="28">
        <v>638.0</v>
      </c>
    </row>
    <row r="106" ht="15.75" hidden="1" customHeight="1">
      <c r="A106" s="26" t="s">
        <v>172</v>
      </c>
      <c r="B106" s="58" t="s">
        <v>145</v>
      </c>
      <c r="C106" s="57" t="s">
        <v>30</v>
      </c>
      <c r="D106" s="26">
        <v>252.0</v>
      </c>
      <c r="E106" s="25" t="s">
        <v>31</v>
      </c>
      <c r="F106" s="25" t="s">
        <v>132</v>
      </c>
      <c r="G106" s="48">
        <v>45993.0</v>
      </c>
      <c r="H106" s="25" t="s">
        <v>33</v>
      </c>
      <c r="I106" s="28">
        <v>2052.45</v>
      </c>
    </row>
    <row r="107" ht="15.75" hidden="1" customHeight="1">
      <c r="A107" s="59" t="s">
        <v>173</v>
      </c>
      <c r="B107" s="58" t="s">
        <v>145</v>
      </c>
      <c r="C107" s="60" t="s">
        <v>30</v>
      </c>
      <c r="D107" s="59">
        <v>275.0</v>
      </c>
      <c r="E107" s="25" t="s">
        <v>31</v>
      </c>
      <c r="F107" s="54" t="s">
        <v>119</v>
      </c>
      <c r="G107" s="61">
        <v>46042.0</v>
      </c>
      <c r="H107" s="25" t="s">
        <v>33</v>
      </c>
      <c r="I107" s="62">
        <v>2239.6</v>
      </c>
    </row>
    <row r="108" ht="15.75" hidden="1" customHeight="1">
      <c r="A108" s="63" t="s">
        <v>174</v>
      </c>
      <c r="B108" s="64" t="s">
        <v>142</v>
      </c>
      <c r="C108" s="60" t="s">
        <v>30</v>
      </c>
      <c r="D108" s="63">
        <v>295.0</v>
      </c>
      <c r="E108" s="65" t="s">
        <v>31</v>
      </c>
      <c r="F108" s="54" t="s">
        <v>148</v>
      </c>
      <c r="G108" s="66">
        <v>46059.0</v>
      </c>
      <c r="H108" s="65" t="s">
        <v>33</v>
      </c>
      <c r="I108" s="67">
        <v>4825.2</v>
      </c>
    </row>
    <row r="109" ht="15.75" hidden="1" customHeight="1">
      <c r="A109" s="63" t="s">
        <v>175</v>
      </c>
      <c r="B109" s="64" t="s">
        <v>29</v>
      </c>
      <c r="C109" s="60" t="s">
        <v>30</v>
      </c>
      <c r="D109" s="63">
        <v>296.0</v>
      </c>
      <c r="E109" s="65" t="s">
        <v>31</v>
      </c>
      <c r="F109" s="54" t="s">
        <v>148</v>
      </c>
      <c r="G109" s="66">
        <v>46059.0</v>
      </c>
      <c r="H109" s="65" t="s">
        <v>33</v>
      </c>
      <c r="I109" s="67">
        <v>3939.29</v>
      </c>
    </row>
    <row r="110" ht="15.75" hidden="1" customHeight="1">
      <c r="A110" s="59" t="s">
        <v>176</v>
      </c>
      <c r="B110" s="58" t="s">
        <v>145</v>
      </c>
      <c r="C110" s="60" t="s">
        <v>30</v>
      </c>
      <c r="D110" s="59">
        <v>278.0</v>
      </c>
      <c r="E110" s="25" t="s">
        <v>31</v>
      </c>
      <c r="F110" s="54" t="s">
        <v>79</v>
      </c>
      <c r="G110" s="61">
        <v>46042.0</v>
      </c>
      <c r="H110" s="25" t="s">
        <v>33</v>
      </c>
      <c r="I110" s="62">
        <v>1160.02</v>
      </c>
    </row>
    <row r="111" ht="15.75" hidden="1" customHeight="1">
      <c r="A111" s="63" t="s">
        <v>177</v>
      </c>
      <c r="B111" s="64" t="s">
        <v>145</v>
      </c>
      <c r="C111" s="60" t="s">
        <v>30</v>
      </c>
      <c r="D111" s="63">
        <v>279.0</v>
      </c>
      <c r="E111" s="65" t="s">
        <v>31</v>
      </c>
      <c r="F111" s="25" t="s">
        <v>132</v>
      </c>
      <c r="G111" s="61">
        <v>46042.0</v>
      </c>
      <c r="H111" s="65" t="s">
        <v>33</v>
      </c>
      <c r="I111" s="67">
        <v>1572.8</v>
      </c>
    </row>
    <row r="112" ht="15.75" hidden="1" customHeight="1">
      <c r="A112" s="59" t="s">
        <v>178</v>
      </c>
      <c r="B112" s="58" t="s">
        <v>29</v>
      </c>
      <c r="C112" s="57" t="s">
        <v>30</v>
      </c>
      <c r="D112" s="59">
        <v>325.0</v>
      </c>
      <c r="E112" s="25" t="s">
        <v>31</v>
      </c>
      <c r="F112" s="25" t="s">
        <v>169</v>
      </c>
      <c r="G112" s="61">
        <v>46042.0</v>
      </c>
      <c r="H112" s="25" t="s">
        <v>33</v>
      </c>
      <c r="I112" s="62">
        <v>240.8</v>
      </c>
    </row>
    <row r="113" ht="15.75" hidden="1" customHeight="1">
      <c r="A113" s="59" t="s">
        <v>179</v>
      </c>
      <c r="B113" s="58" t="s">
        <v>29</v>
      </c>
      <c r="C113" s="68" t="s">
        <v>112</v>
      </c>
      <c r="D113" s="59">
        <v>326.0</v>
      </c>
      <c r="E113" s="25" t="s">
        <v>31</v>
      </c>
      <c r="F113" s="25" t="s">
        <v>169</v>
      </c>
      <c r="G113" s="61">
        <v>46042.0</v>
      </c>
      <c r="H113" s="25" t="s">
        <v>33</v>
      </c>
      <c r="I113" s="62">
        <v>310.5</v>
      </c>
    </row>
    <row r="114" ht="15.75" hidden="1" customHeight="1">
      <c r="A114" s="63" t="s">
        <v>180</v>
      </c>
      <c r="B114" s="64" t="s">
        <v>145</v>
      </c>
      <c r="C114" s="60" t="s">
        <v>30</v>
      </c>
      <c r="D114" s="63">
        <v>281.0</v>
      </c>
      <c r="E114" s="65" t="s">
        <v>31</v>
      </c>
      <c r="F114" s="25" t="s">
        <v>130</v>
      </c>
      <c r="G114" s="61">
        <v>46042.0</v>
      </c>
      <c r="H114" s="65" t="s">
        <v>33</v>
      </c>
      <c r="I114" s="67">
        <v>406.0</v>
      </c>
    </row>
    <row r="115" ht="15.75" hidden="1" customHeight="1">
      <c r="A115" s="59" t="s">
        <v>181</v>
      </c>
      <c r="B115" s="58" t="s">
        <v>145</v>
      </c>
      <c r="C115" s="60" t="s">
        <v>30</v>
      </c>
      <c r="D115" s="59">
        <v>282.0</v>
      </c>
      <c r="E115" s="25" t="s">
        <v>31</v>
      </c>
      <c r="F115" s="54" t="s">
        <v>55</v>
      </c>
      <c r="G115" s="61">
        <v>46042.0</v>
      </c>
      <c r="H115" s="25" t="s">
        <v>33</v>
      </c>
      <c r="I115" s="62">
        <v>3564.23</v>
      </c>
    </row>
    <row r="116" ht="15.75" hidden="1" customHeight="1">
      <c r="A116" s="63" t="s">
        <v>182</v>
      </c>
      <c r="B116" s="64" t="s">
        <v>145</v>
      </c>
      <c r="C116" s="60" t="s">
        <v>30</v>
      </c>
      <c r="D116" s="63">
        <v>283.0</v>
      </c>
      <c r="E116" s="65" t="s">
        <v>31</v>
      </c>
      <c r="F116" s="25" t="s">
        <v>125</v>
      </c>
      <c r="G116" s="61">
        <v>46042.0</v>
      </c>
      <c r="H116" s="65" t="s">
        <v>33</v>
      </c>
      <c r="I116" s="67">
        <v>466.04</v>
      </c>
    </row>
    <row r="117" ht="15.75" hidden="1" customHeight="1">
      <c r="A117" s="59" t="s">
        <v>183</v>
      </c>
      <c r="B117" s="58" t="s">
        <v>145</v>
      </c>
      <c r="C117" s="60" t="s">
        <v>30</v>
      </c>
      <c r="D117" s="59">
        <v>284.0</v>
      </c>
      <c r="E117" s="25" t="s">
        <v>31</v>
      </c>
      <c r="F117" s="25" t="s">
        <v>140</v>
      </c>
      <c r="G117" s="61">
        <v>46042.0</v>
      </c>
      <c r="H117" s="25" t="s">
        <v>33</v>
      </c>
      <c r="I117" s="62">
        <v>578.25</v>
      </c>
    </row>
    <row r="118" ht="15.75" hidden="1" customHeight="1">
      <c r="A118" s="63" t="s">
        <v>184</v>
      </c>
      <c r="B118" s="64" t="s">
        <v>29</v>
      </c>
      <c r="C118" s="57" t="s">
        <v>30</v>
      </c>
      <c r="D118" s="63">
        <v>300.0</v>
      </c>
      <c r="E118" s="65" t="s">
        <v>31</v>
      </c>
      <c r="F118" s="53" t="s">
        <v>146</v>
      </c>
      <c r="G118" s="66">
        <v>46063.0</v>
      </c>
      <c r="H118" s="65" t="s">
        <v>33</v>
      </c>
      <c r="I118" s="67">
        <v>30675.24</v>
      </c>
    </row>
    <row r="119" ht="15.75" hidden="1" customHeight="1">
      <c r="A119" s="63" t="s">
        <v>185</v>
      </c>
      <c r="B119" s="64" t="s">
        <v>29</v>
      </c>
      <c r="C119" s="57" t="s">
        <v>30</v>
      </c>
      <c r="D119" s="63">
        <v>301.0</v>
      </c>
      <c r="E119" s="65" t="s">
        <v>31</v>
      </c>
      <c r="F119" s="53" t="s">
        <v>146</v>
      </c>
      <c r="G119" s="66">
        <v>46063.0</v>
      </c>
      <c r="H119" s="65" t="s">
        <v>33</v>
      </c>
      <c r="I119" s="69">
        <v>27398.65</v>
      </c>
    </row>
    <row r="120" ht="15.75" hidden="1" customHeight="1">
      <c r="A120" s="70" t="s">
        <v>186</v>
      </c>
      <c r="B120" s="71" t="s">
        <v>29</v>
      </c>
      <c r="C120" s="57" t="s">
        <v>30</v>
      </c>
      <c r="D120" s="71">
        <v>145.0</v>
      </c>
      <c r="E120" s="72" t="s">
        <v>31</v>
      </c>
      <c r="F120" s="73" t="s">
        <v>140</v>
      </c>
      <c r="G120" s="74">
        <v>45975.0</v>
      </c>
      <c r="H120" s="72" t="s">
        <v>33</v>
      </c>
      <c r="I120" s="75">
        <v>232.0</v>
      </c>
    </row>
    <row r="121" ht="15.75" hidden="1" customHeight="1">
      <c r="A121" s="71" t="s">
        <v>187</v>
      </c>
      <c r="B121" s="76" t="s">
        <v>29</v>
      </c>
      <c r="C121" s="77" t="s">
        <v>30</v>
      </c>
      <c r="D121" s="71">
        <v>146.0</v>
      </c>
      <c r="E121" s="72" t="s">
        <v>31</v>
      </c>
      <c r="F121" s="78" t="s">
        <v>188</v>
      </c>
      <c r="G121" s="74">
        <v>45975.0</v>
      </c>
      <c r="H121" s="72" t="s">
        <v>33</v>
      </c>
      <c r="I121" s="75">
        <v>464.0</v>
      </c>
    </row>
    <row r="122" ht="15.75" hidden="1" customHeight="1">
      <c r="A122" s="76" t="s">
        <v>189</v>
      </c>
      <c r="B122" s="76" t="s">
        <v>29</v>
      </c>
      <c r="C122" s="77" t="s">
        <v>30</v>
      </c>
      <c r="D122" s="76">
        <v>308.0</v>
      </c>
      <c r="E122" s="65" t="s">
        <v>31</v>
      </c>
      <c r="F122" s="53" t="s">
        <v>146</v>
      </c>
      <c r="G122" s="66">
        <v>46064.0</v>
      </c>
      <c r="H122" s="65" t="s">
        <v>33</v>
      </c>
      <c r="I122" s="62">
        <v>71148.52</v>
      </c>
    </row>
    <row r="123" ht="15.75" hidden="1" customHeight="1">
      <c r="A123" s="76" t="s">
        <v>190</v>
      </c>
      <c r="B123" s="76" t="s">
        <v>29</v>
      </c>
      <c r="C123" s="77" t="s">
        <v>30</v>
      </c>
      <c r="D123" s="76">
        <v>313.0</v>
      </c>
      <c r="E123" s="65" t="s">
        <v>31</v>
      </c>
      <c r="F123" s="59" t="s">
        <v>191</v>
      </c>
      <c r="G123" s="66">
        <v>46064.0</v>
      </c>
      <c r="H123" s="65" t="s">
        <v>33</v>
      </c>
      <c r="I123" s="62">
        <v>208.8</v>
      </c>
    </row>
    <row r="124" ht="15.75" hidden="1" customHeight="1">
      <c r="A124" s="76" t="s">
        <v>192</v>
      </c>
      <c r="B124" s="76" t="s">
        <v>29</v>
      </c>
      <c r="C124" s="77" t="s">
        <v>30</v>
      </c>
      <c r="D124" s="76">
        <v>312.0</v>
      </c>
      <c r="E124" s="65" t="s">
        <v>31</v>
      </c>
      <c r="F124" s="25" t="s">
        <v>140</v>
      </c>
      <c r="G124" s="66">
        <v>46064.0</v>
      </c>
      <c r="H124" s="65" t="s">
        <v>33</v>
      </c>
      <c r="I124" s="62">
        <v>1396.19</v>
      </c>
    </row>
    <row r="125" ht="15.75" hidden="1" customHeight="1">
      <c r="A125" s="76" t="s">
        <v>193</v>
      </c>
      <c r="B125" s="76" t="s">
        <v>29</v>
      </c>
      <c r="C125" s="57" t="s">
        <v>30</v>
      </c>
      <c r="D125" s="76">
        <v>302.0</v>
      </c>
      <c r="E125" s="65" t="s">
        <v>31</v>
      </c>
      <c r="F125" s="25" t="s">
        <v>132</v>
      </c>
      <c r="G125" s="66">
        <v>46064.0</v>
      </c>
      <c r="H125" s="65" t="s">
        <v>33</v>
      </c>
      <c r="I125" s="62">
        <v>2267.73</v>
      </c>
    </row>
    <row r="126" ht="15.75" hidden="1" customHeight="1">
      <c r="A126" s="76" t="s">
        <v>194</v>
      </c>
      <c r="B126" s="76" t="s">
        <v>29</v>
      </c>
      <c r="C126" s="57" t="s">
        <v>30</v>
      </c>
      <c r="D126" s="76">
        <v>303.0</v>
      </c>
      <c r="E126" s="65" t="s">
        <v>31</v>
      </c>
      <c r="F126" s="25" t="s">
        <v>169</v>
      </c>
      <c r="G126" s="66">
        <v>46064.0</v>
      </c>
      <c r="H126" s="65" t="s">
        <v>33</v>
      </c>
      <c r="I126" s="62">
        <v>621.0</v>
      </c>
    </row>
    <row r="127" ht="15.75" hidden="1" customHeight="1">
      <c r="A127" s="76" t="s">
        <v>195</v>
      </c>
      <c r="B127" s="76" t="s">
        <v>29</v>
      </c>
      <c r="C127" s="57" t="s">
        <v>30</v>
      </c>
      <c r="D127" s="76">
        <v>304.0</v>
      </c>
      <c r="E127" s="65" t="s">
        <v>31</v>
      </c>
      <c r="F127" s="25" t="s">
        <v>130</v>
      </c>
      <c r="G127" s="66">
        <v>46064.0</v>
      </c>
      <c r="H127" s="65" t="s">
        <v>33</v>
      </c>
      <c r="I127" s="62">
        <v>1120.51</v>
      </c>
    </row>
    <row r="128" ht="15.75" hidden="1" customHeight="1">
      <c r="A128" s="76" t="s">
        <v>196</v>
      </c>
      <c r="B128" s="76" t="s">
        <v>29</v>
      </c>
      <c r="C128" s="57" t="s">
        <v>30</v>
      </c>
      <c r="D128" s="76">
        <v>305.0</v>
      </c>
      <c r="E128" s="65" t="s">
        <v>31</v>
      </c>
      <c r="F128" s="54" t="s">
        <v>119</v>
      </c>
      <c r="G128" s="66">
        <v>46064.0</v>
      </c>
      <c r="H128" s="65" t="s">
        <v>33</v>
      </c>
      <c r="I128" s="62">
        <v>2041.7</v>
      </c>
    </row>
    <row r="129" ht="15.75" hidden="1" customHeight="1">
      <c r="A129" s="76" t="s">
        <v>197</v>
      </c>
      <c r="B129" s="76" t="s">
        <v>29</v>
      </c>
      <c r="C129" s="57" t="s">
        <v>30</v>
      </c>
      <c r="D129" s="76">
        <v>306.0</v>
      </c>
      <c r="E129" s="65" t="s">
        <v>31</v>
      </c>
      <c r="F129" s="54" t="s">
        <v>148</v>
      </c>
      <c r="G129" s="66">
        <v>46064.0</v>
      </c>
      <c r="H129" s="65" t="s">
        <v>33</v>
      </c>
      <c r="I129" s="62">
        <v>11364.04</v>
      </c>
    </row>
    <row r="130" ht="15.75" hidden="1" customHeight="1">
      <c r="A130" s="76" t="s">
        <v>198</v>
      </c>
      <c r="B130" s="76" t="s">
        <v>29</v>
      </c>
      <c r="C130" s="57" t="s">
        <v>30</v>
      </c>
      <c r="D130" s="76">
        <v>307.0</v>
      </c>
      <c r="E130" s="65" t="s">
        <v>31</v>
      </c>
      <c r="F130" s="54" t="s">
        <v>79</v>
      </c>
      <c r="G130" s="66">
        <v>46064.0</v>
      </c>
      <c r="H130" s="65" t="s">
        <v>33</v>
      </c>
      <c r="I130" s="62">
        <v>1192.84</v>
      </c>
    </row>
    <row r="131" ht="15.75" hidden="1" customHeight="1">
      <c r="A131" s="76" t="s">
        <v>199</v>
      </c>
      <c r="B131" s="76" t="s">
        <v>29</v>
      </c>
      <c r="C131" s="57" t="s">
        <v>30</v>
      </c>
      <c r="D131" s="76">
        <v>309.0</v>
      </c>
      <c r="E131" s="65" t="s">
        <v>31</v>
      </c>
      <c r="F131" s="54" t="s">
        <v>55</v>
      </c>
      <c r="G131" s="66">
        <v>46064.0</v>
      </c>
      <c r="H131" s="65" t="s">
        <v>33</v>
      </c>
      <c r="I131" s="62">
        <v>11724.19</v>
      </c>
    </row>
    <row r="132" ht="15.75" hidden="1" customHeight="1">
      <c r="A132" s="76" t="s">
        <v>200</v>
      </c>
      <c r="B132" s="76" t="s">
        <v>29</v>
      </c>
      <c r="C132" s="77" t="s">
        <v>30</v>
      </c>
      <c r="D132" s="76">
        <v>311.0</v>
      </c>
      <c r="E132" s="65" t="s">
        <v>31</v>
      </c>
      <c r="F132" s="25" t="s">
        <v>125</v>
      </c>
      <c r="G132" s="66">
        <v>46064.0</v>
      </c>
      <c r="H132" s="65" t="s">
        <v>33</v>
      </c>
      <c r="I132" s="62">
        <v>12101.28</v>
      </c>
    </row>
    <row r="133" ht="15.75" hidden="1" customHeight="1">
      <c r="A133" s="76" t="s">
        <v>201</v>
      </c>
      <c r="B133" s="76" t="s">
        <v>29</v>
      </c>
      <c r="C133" s="77" t="s">
        <v>30</v>
      </c>
      <c r="D133" s="76">
        <v>343.0</v>
      </c>
      <c r="E133" s="76" t="s">
        <v>31</v>
      </c>
      <c r="F133" s="59" t="s">
        <v>146</v>
      </c>
      <c r="G133" s="66">
        <v>46076.0</v>
      </c>
      <c r="H133" s="76" t="s">
        <v>33</v>
      </c>
      <c r="I133" s="62">
        <v>33283.51</v>
      </c>
    </row>
    <row r="134" ht="15.75" hidden="1" customHeight="1">
      <c r="A134" s="76" t="s">
        <v>202</v>
      </c>
      <c r="B134" s="76" t="s">
        <v>29</v>
      </c>
      <c r="C134" s="77" t="s">
        <v>30</v>
      </c>
      <c r="D134" s="76">
        <v>344.0</v>
      </c>
      <c r="E134" s="59" t="s">
        <v>31</v>
      </c>
      <c r="F134" s="59" t="s">
        <v>146</v>
      </c>
      <c r="G134" s="66">
        <v>46076.0</v>
      </c>
      <c r="H134" s="59" t="s">
        <v>33</v>
      </c>
      <c r="I134" s="62">
        <v>49205.02</v>
      </c>
    </row>
    <row r="135" ht="15.75" hidden="1" customHeight="1">
      <c r="A135" s="76" t="s">
        <v>203</v>
      </c>
      <c r="B135" s="76" t="s">
        <v>29</v>
      </c>
      <c r="C135" s="57" t="s">
        <v>30</v>
      </c>
      <c r="D135" s="76">
        <v>331.0</v>
      </c>
      <c r="E135" s="59" t="s">
        <v>31</v>
      </c>
      <c r="F135" s="79" t="s">
        <v>55</v>
      </c>
      <c r="G135" s="66">
        <v>46076.0</v>
      </c>
      <c r="H135" s="59" t="s">
        <v>33</v>
      </c>
      <c r="I135" s="62">
        <v>1762.85</v>
      </c>
    </row>
    <row r="136" ht="15.75" hidden="1" customHeight="1">
      <c r="A136" s="76" t="s">
        <v>204</v>
      </c>
      <c r="B136" s="76" t="s">
        <v>205</v>
      </c>
      <c r="C136" s="57" t="s">
        <v>30</v>
      </c>
      <c r="D136" s="76">
        <v>332.0</v>
      </c>
      <c r="E136" s="59" t="s">
        <v>31</v>
      </c>
      <c r="F136" s="79" t="s">
        <v>55</v>
      </c>
      <c r="G136" s="66">
        <v>46076.0</v>
      </c>
      <c r="H136" s="59" t="s">
        <v>33</v>
      </c>
      <c r="I136" s="62">
        <v>3348.14</v>
      </c>
    </row>
    <row r="137" ht="15.75" hidden="1" customHeight="1">
      <c r="A137" s="76" t="s">
        <v>206</v>
      </c>
      <c r="B137" s="76" t="s">
        <v>205</v>
      </c>
      <c r="C137" s="57" t="s">
        <v>30</v>
      </c>
      <c r="D137" s="76">
        <v>333.0</v>
      </c>
      <c r="E137" s="59" t="s">
        <v>31</v>
      </c>
      <c r="F137" s="79" t="s">
        <v>125</v>
      </c>
      <c r="G137" s="66">
        <v>46076.0</v>
      </c>
      <c r="H137" s="59" t="s">
        <v>33</v>
      </c>
      <c r="I137" s="62">
        <v>4486.01</v>
      </c>
    </row>
    <row r="138" ht="15.75" hidden="1" customHeight="1">
      <c r="A138" s="76" t="s">
        <v>207</v>
      </c>
      <c r="B138" s="76" t="s">
        <v>205</v>
      </c>
      <c r="C138" s="77" t="s">
        <v>30</v>
      </c>
      <c r="D138" s="76">
        <v>334.0</v>
      </c>
      <c r="E138" s="59" t="s">
        <v>31</v>
      </c>
      <c r="F138" s="79" t="s">
        <v>125</v>
      </c>
      <c r="G138" s="66">
        <v>46076.0</v>
      </c>
      <c r="H138" s="59" t="s">
        <v>33</v>
      </c>
      <c r="I138" s="62">
        <v>12768.86</v>
      </c>
    </row>
    <row r="139" ht="15.75" hidden="1" customHeight="1">
      <c r="A139" s="76" t="s">
        <v>208</v>
      </c>
      <c r="B139" s="76" t="s">
        <v>205</v>
      </c>
      <c r="C139" s="77" t="s">
        <v>30</v>
      </c>
      <c r="D139" s="76">
        <v>341.0</v>
      </c>
      <c r="E139" s="59" t="s">
        <v>31</v>
      </c>
      <c r="F139" s="25" t="s">
        <v>140</v>
      </c>
      <c r="G139" s="66">
        <v>46076.0</v>
      </c>
      <c r="H139" s="59" t="s">
        <v>33</v>
      </c>
      <c r="I139" s="62">
        <v>404.21</v>
      </c>
    </row>
    <row r="140" ht="15.75" hidden="1" customHeight="1">
      <c r="A140" s="76" t="s">
        <v>209</v>
      </c>
      <c r="B140" s="76" t="s">
        <v>205</v>
      </c>
      <c r="C140" s="77" t="s">
        <v>30</v>
      </c>
      <c r="D140" s="76">
        <v>342.0</v>
      </c>
      <c r="E140" s="59" t="s">
        <v>31</v>
      </c>
      <c r="F140" s="25" t="s">
        <v>140</v>
      </c>
      <c r="G140" s="66">
        <v>46076.0</v>
      </c>
      <c r="H140" s="59" t="s">
        <v>33</v>
      </c>
      <c r="I140" s="62">
        <v>959.75</v>
      </c>
    </row>
    <row r="141" ht="15.75" hidden="1" customHeight="1">
      <c r="A141" s="76" t="s">
        <v>210</v>
      </c>
      <c r="B141" s="76" t="s">
        <v>205</v>
      </c>
      <c r="C141" s="77" t="s">
        <v>30</v>
      </c>
      <c r="D141" s="76">
        <v>327.0</v>
      </c>
      <c r="E141" s="59" t="s">
        <v>31</v>
      </c>
      <c r="F141" s="25" t="s">
        <v>132</v>
      </c>
      <c r="G141" s="66">
        <v>46076.0</v>
      </c>
      <c r="H141" s="59" t="s">
        <v>33</v>
      </c>
      <c r="I141" s="62">
        <v>348.0</v>
      </c>
    </row>
    <row r="142" ht="15.75" hidden="1" customHeight="1">
      <c r="A142" s="76" t="s">
        <v>211</v>
      </c>
      <c r="B142" s="76" t="s">
        <v>205</v>
      </c>
      <c r="C142" s="77" t="s">
        <v>30</v>
      </c>
      <c r="D142" s="76">
        <v>328.0</v>
      </c>
      <c r="E142" s="59" t="s">
        <v>31</v>
      </c>
      <c r="F142" s="25" t="s">
        <v>132</v>
      </c>
      <c r="G142" s="66">
        <v>46076.0</v>
      </c>
      <c r="H142" s="59" t="s">
        <v>33</v>
      </c>
      <c r="I142" s="62">
        <v>1961.5</v>
      </c>
    </row>
    <row r="143" ht="15.75" hidden="1" customHeight="1">
      <c r="A143" s="76" t="s">
        <v>212</v>
      </c>
      <c r="B143" s="76" t="s">
        <v>205</v>
      </c>
      <c r="C143" s="77" t="s">
        <v>30</v>
      </c>
      <c r="D143" s="76">
        <v>329.0</v>
      </c>
      <c r="E143" s="59" t="s">
        <v>31</v>
      </c>
      <c r="F143" s="25" t="s">
        <v>130</v>
      </c>
      <c r="G143" s="66">
        <v>46076.0</v>
      </c>
      <c r="H143" s="59" t="s">
        <v>33</v>
      </c>
      <c r="I143" s="62">
        <v>232.0</v>
      </c>
    </row>
    <row r="144" ht="15.75" hidden="1" customHeight="1">
      <c r="A144" s="76" t="s">
        <v>213</v>
      </c>
      <c r="B144" s="76" t="s">
        <v>205</v>
      </c>
      <c r="C144" s="77" t="s">
        <v>30</v>
      </c>
      <c r="D144" s="76">
        <v>330.0</v>
      </c>
      <c r="E144" s="59" t="s">
        <v>31</v>
      </c>
      <c r="F144" s="25" t="s">
        <v>130</v>
      </c>
      <c r="G144" s="66">
        <v>46076.0</v>
      </c>
      <c r="H144" s="59" t="s">
        <v>33</v>
      </c>
      <c r="I144" s="62">
        <v>1429.11</v>
      </c>
    </row>
    <row r="145" ht="15.75" hidden="1" customHeight="1">
      <c r="A145" s="76" t="s">
        <v>214</v>
      </c>
      <c r="B145" s="76" t="s">
        <v>205</v>
      </c>
      <c r="C145" s="77" t="s">
        <v>30</v>
      </c>
      <c r="D145" s="76">
        <v>335.0</v>
      </c>
      <c r="E145" s="59" t="s">
        <v>31</v>
      </c>
      <c r="F145" s="54" t="s">
        <v>119</v>
      </c>
      <c r="G145" s="66">
        <v>46076.0</v>
      </c>
      <c r="H145" s="59" t="s">
        <v>33</v>
      </c>
      <c r="I145" s="62">
        <v>1132.17</v>
      </c>
    </row>
    <row r="146" ht="15.75" hidden="1" customHeight="1">
      <c r="A146" s="76" t="s">
        <v>215</v>
      </c>
      <c r="B146" s="76" t="s">
        <v>205</v>
      </c>
      <c r="C146" s="77" t="s">
        <v>30</v>
      </c>
      <c r="D146" s="76">
        <v>336.0</v>
      </c>
      <c r="E146" s="59" t="s">
        <v>31</v>
      </c>
      <c r="F146" s="54" t="s">
        <v>119</v>
      </c>
      <c r="G146" s="66">
        <v>46076.0</v>
      </c>
      <c r="H146" s="59" t="s">
        <v>33</v>
      </c>
      <c r="I146" s="62">
        <v>2478.35</v>
      </c>
    </row>
    <row r="147" ht="15.75" hidden="1" customHeight="1">
      <c r="A147" s="76" t="s">
        <v>216</v>
      </c>
      <c r="B147" s="76" t="s">
        <v>205</v>
      </c>
      <c r="C147" s="77" t="s">
        <v>30</v>
      </c>
      <c r="D147" s="76">
        <v>337.0</v>
      </c>
      <c r="E147" s="59" t="s">
        <v>31</v>
      </c>
      <c r="F147" s="54" t="s">
        <v>148</v>
      </c>
      <c r="G147" s="66">
        <v>46076.0</v>
      </c>
      <c r="H147" s="59" t="s">
        <v>33</v>
      </c>
      <c r="I147" s="62">
        <v>4287.3</v>
      </c>
    </row>
    <row r="148" ht="15.75" hidden="1" customHeight="1">
      <c r="A148" s="76" t="s">
        <v>217</v>
      </c>
      <c r="B148" s="76" t="s">
        <v>205</v>
      </c>
      <c r="C148" s="77" t="s">
        <v>30</v>
      </c>
      <c r="D148" s="76">
        <v>338.0</v>
      </c>
      <c r="E148" s="59" t="s">
        <v>31</v>
      </c>
      <c r="F148" s="54" t="s">
        <v>148</v>
      </c>
      <c r="G148" s="66">
        <v>46076.0</v>
      </c>
      <c r="H148" s="59" t="s">
        <v>33</v>
      </c>
      <c r="I148" s="62">
        <v>8099.03</v>
      </c>
    </row>
    <row r="149" ht="15.75" hidden="1" customHeight="1">
      <c r="A149" s="76" t="s">
        <v>218</v>
      </c>
      <c r="B149" s="76" t="s">
        <v>205</v>
      </c>
      <c r="C149" s="77" t="s">
        <v>30</v>
      </c>
      <c r="D149" s="76">
        <v>339.0</v>
      </c>
      <c r="E149" s="59" t="s">
        <v>31</v>
      </c>
      <c r="F149" s="54" t="s">
        <v>79</v>
      </c>
      <c r="G149" s="66">
        <v>46076.0</v>
      </c>
      <c r="H149" s="59" t="s">
        <v>33</v>
      </c>
      <c r="I149" s="62">
        <v>485.76</v>
      </c>
    </row>
    <row r="150" ht="15.75" hidden="1" customHeight="1">
      <c r="A150" s="76" t="s">
        <v>219</v>
      </c>
      <c r="B150" s="76" t="s">
        <v>205</v>
      </c>
      <c r="C150" s="77" t="s">
        <v>30</v>
      </c>
      <c r="D150" s="76">
        <v>340.0</v>
      </c>
      <c r="E150" s="59" t="s">
        <v>31</v>
      </c>
      <c r="F150" s="54" t="s">
        <v>79</v>
      </c>
      <c r="G150" s="66">
        <v>46076.0</v>
      </c>
      <c r="H150" s="59" t="s">
        <v>33</v>
      </c>
      <c r="I150" s="62">
        <v>366.86</v>
      </c>
    </row>
    <row r="151" ht="15.75" hidden="1" customHeight="1">
      <c r="A151" s="76" t="s">
        <v>220</v>
      </c>
      <c r="B151" s="76" t="s">
        <v>205</v>
      </c>
      <c r="C151" s="77" t="s">
        <v>30</v>
      </c>
      <c r="D151" s="76">
        <v>355.0</v>
      </c>
      <c r="E151" s="59" t="s">
        <v>31</v>
      </c>
      <c r="F151" s="59" t="s">
        <v>146</v>
      </c>
      <c r="G151" s="80">
        <v>46083.0</v>
      </c>
      <c r="H151" s="59" t="s">
        <v>33</v>
      </c>
      <c r="I151" s="62">
        <v>68461.11</v>
      </c>
    </row>
    <row r="152" ht="15.75" hidden="1" customHeight="1">
      <c r="A152" s="76" t="s">
        <v>221</v>
      </c>
      <c r="B152" s="76" t="s">
        <v>205</v>
      </c>
      <c r="C152" s="77" t="s">
        <v>30</v>
      </c>
      <c r="D152" s="76">
        <v>352.0</v>
      </c>
      <c r="E152" s="59" t="s">
        <v>31</v>
      </c>
      <c r="F152" s="54" t="s">
        <v>55</v>
      </c>
      <c r="G152" s="80">
        <v>46083.0</v>
      </c>
      <c r="H152" s="59" t="s">
        <v>33</v>
      </c>
      <c r="I152" s="62">
        <v>8345.81</v>
      </c>
    </row>
    <row r="153" ht="15.75" hidden="1" customHeight="1">
      <c r="A153" s="76" t="s">
        <v>222</v>
      </c>
      <c r="B153" s="76" t="s">
        <v>205</v>
      </c>
      <c r="C153" s="77" t="s">
        <v>30</v>
      </c>
      <c r="D153" s="76">
        <v>353.0</v>
      </c>
      <c r="E153" s="59" t="s">
        <v>31</v>
      </c>
      <c r="F153" s="79" t="s">
        <v>125</v>
      </c>
      <c r="G153" s="80">
        <v>46083.0</v>
      </c>
      <c r="H153" s="59" t="s">
        <v>33</v>
      </c>
      <c r="I153" s="62">
        <v>13360.66</v>
      </c>
    </row>
    <row r="154" ht="15.75" hidden="1" customHeight="1">
      <c r="A154" s="76" t="s">
        <v>223</v>
      </c>
      <c r="B154" s="76" t="s">
        <v>205</v>
      </c>
      <c r="C154" s="77" t="s">
        <v>30</v>
      </c>
      <c r="D154" s="76">
        <v>354.0</v>
      </c>
      <c r="E154" s="59" t="s">
        <v>31</v>
      </c>
      <c r="F154" s="25" t="s">
        <v>140</v>
      </c>
      <c r="G154" s="80">
        <v>46083.0</v>
      </c>
      <c r="H154" s="59" t="s">
        <v>33</v>
      </c>
      <c r="I154" s="62">
        <v>927.27</v>
      </c>
    </row>
    <row r="155" ht="15.75" hidden="1" customHeight="1">
      <c r="A155" s="76" t="s">
        <v>224</v>
      </c>
      <c r="B155" s="76" t="s">
        <v>205</v>
      </c>
      <c r="C155" s="77" t="s">
        <v>30</v>
      </c>
      <c r="D155" s="76">
        <v>346.0</v>
      </c>
      <c r="E155" s="59" t="s">
        <v>31</v>
      </c>
      <c r="F155" s="25" t="s">
        <v>132</v>
      </c>
      <c r="G155" s="80">
        <v>46083.0</v>
      </c>
      <c r="H155" s="59" t="s">
        <v>33</v>
      </c>
      <c r="I155" s="62">
        <v>1685.68</v>
      </c>
    </row>
    <row r="156" ht="15.75" hidden="1" customHeight="1">
      <c r="A156" s="76" t="s">
        <v>225</v>
      </c>
      <c r="B156" s="76" t="s">
        <v>205</v>
      </c>
      <c r="C156" s="77" t="s">
        <v>30</v>
      </c>
      <c r="D156" s="76">
        <v>347.0</v>
      </c>
      <c r="E156" s="59" t="s">
        <v>31</v>
      </c>
      <c r="F156" s="79" t="s">
        <v>169</v>
      </c>
      <c r="G156" s="80">
        <v>46083.0</v>
      </c>
      <c r="H156" s="59" t="s">
        <v>33</v>
      </c>
      <c r="I156" s="62">
        <v>326.5</v>
      </c>
    </row>
    <row r="157" ht="15.75" hidden="1" customHeight="1">
      <c r="A157" s="76" t="s">
        <v>226</v>
      </c>
      <c r="B157" s="76" t="s">
        <v>205</v>
      </c>
      <c r="C157" s="77" t="s">
        <v>30</v>
      </c>
      <c r="D157" s="76">
        <v>348.0</v>
      </c>
      <c r="E157" s="59" t="s">
        <v>31</v>
      </c>
      <c r="F157" s="25" t="s">
        <v>130</v>
      </c>
      <c r="G157" s="80">
        <v>46083.0</v>
      </c>
      <c r="H157" s="59" t="s">
        <v>33</v>
      </c>
      <c r="I157" s="62">
        <v>1124.61</v>
      </c>
    </row>
    <row r="158" ht="15.75" hidden="1" customHeight="1">
      <c r="A158" s="76" t="s">
        <v>227</v>
      </c>
      <c r="B158" s="76" t="s">
        <v>205</v>
      </c>
      <c r="C158" s="77" t="s">
        <v>30</v>
      </c>
      <c r="D158" s="76">
        <v>349.0</v>
      </c>
      <c r="E158" s="59" t="s">
        <v>31</v>
      </c>
      <c r="F158" s="54" t="s">
        <v>119</v>
      </c>
      <c r="G158" s="80">
        <v>46083.0</v>
      </c>
      <c r="H158" s="59" t="s">
        <v>33</v>
      </c>
      <c r="I158" s="62">
        <v>2112.42</v>
      </c>
    </row>
    <row r="159" ht="16.5" hidden="1" customHeight="1">
      <c r="A159" s="76" t="s">
        <v>228</v>
      </c>
      <c r="B159" s="76" t="s">
        <v>205</v>
      </c>
      <c r="C159" s="77" t="s">
        <v>30</v>
      </c>
      <c r="D159" s="76">
        <v>350.0</v>
      </c>
      <c r="E159" s="59" t="s">
        <v>31</v>
      </c>
      <c r="F159" s="54" t="s">
        <v>148</v>
      </c>
      <c r="G159" s="80">
        <v>46083.0</v>
      </c>
      <c r="H159" s="59" t="s">
        <v>33</v>
      </c>
      <c r="I159" s="62">
        <v>10593.8</v>
      </c>
    </row>
    <row r="160" ht="15.75" hidden="1" customHeight="1">
      <c r="A160" s="76" t="s">
        <v>229</v>
      </c>
      <c r="B160" s="76" t="s">
        <v>205</v>
      </c>
      <c r="C160" s="77" t="s">
        <v>30</v>
      </c>
      <c r="D160" s="76">
        <v>351.0</v>
      </c>
      <c r="E160" s="59" t="s">
        <v>31</v>
      </c>
      <c r="F160" s="54" t="s">
        <v>79</v>
      </c>
      <c r="G160" s="80">
        <v>46083.0</v>
      </c>
      <c r="H160" s="59" t="s">
        <v>33</v>
      </c>
      <c r="I160" s="62">
        <v>529.75</v>
      </c>
    </row>
    <row r="161" ht="15.75" hidden="1" customHeight="1">
      <c r="A161" s="81" t="s">
        <v>230</v>
      </c>
      <c r="B161" s="76" t="s">
        <v>205</v>
      </c>
      <c r="C161" s="82" t="s">
        <v>30</v>
      </c>
      <c r="D161" s="81">
        <v>372.0</v>
      </c>
      <c r="E161" s="59" t="s">
        <v>31</v>
      </c>
      <c r="F161" s="54" t="s">
        <v>119</v>
      </c>
      <c r="G161" s="83">
        <v>46098.0</v>
      </c>
      <c r="H161" s="59" t="s">
        <v>33</v>
      </c>
      <c r="I161" s="62">
        <v>3761.24</v>
      </c>
    </row>
    <row r="162" ht="15.75" hidden="1" customHeight="1">
      <c r="A162" s="81" t="s">
        <v>231</v>
      </c>
      <c r="B162" s="76" t="s">
        <v>205</v>
      </c>
      <c r="C162" s="82" t="s">
        <v>30</v>
      </c>
      <c r="D162" s="81">
        <v>373.0</v>
      </c>
      <c r="E162" s="59" t="s">
        <v>31</v>
      </c>
      <c r="F162" s="54" t="s">
        <v>148</v>
      </c>
      <c r="G162" s="83">
        <v>46098.0</v>
      </c>
      <c r="H162" s="59" t="s">
        <v>33</v>
      </c>
      <c r="I162" s="62">
        <v>12705.31</v>
      </c>
    </row>
    <row r="163" ht="15.75" hidden="1" customHeight="1">
      <c r="A163" s="81" t="s">
        <v>232</v>
      </c>
      <c r="B163" s="76" t="s">
        <v>205</v>
      </c>
      <c r="C163" s="84" t="s">
        <v>30</v>
      </c>
      <c r="D163" s="81">
        <v>374.0</v>
      </c>
      <c r="E163" s="59" t="s">
        <v>31</v>
      </c>
      <c r="F163" s="59" t="s">
        <v>146</v>
      </c>
      <c r="G163" s="83">
        <v>46098.0</v>
      </c>
      <c r="H163" s="59" t="s">
        <v>33</v>
      </c>
      <c r="I163" s="62">
        <v>91735.64</v>
      </c>
    </row>
    <row r="164" ht="15.75" customHeight="1">
      <c r="A164" s="81" t="s">
        <v>233</v>
      </c>
      <c r="B164" s="76" t="s">
        <v>205</v>
      </c>
      <c r="C164" s="85" t="s">
        <v>234</v>
      </c>
      <c r="D164" s="81">
        <v>387.0</v>
      </c>
      <c r="E164" s="59" t="s">
        <v>31</v>
      </c>
      <c r="F164" s="54" t="s">
        <v>55</v>
      </c>
      <c r="G164" s="83">
        <v>46098.0</v>
      </c>
      <c r="H164" s="59" t="s">
        <v>33</v>
      </c>
      <c r="I164" s="62">
        <v>65.4</v>
      </c>
    </row>
    <row r="165" ht="15.75" hidden="1" customHeight="1">
      <c r="A165" s="81" t="s">
        <v>235</v>
      </c>
      <c r="B165" s="76" t="s">
        <v>205</v>
      </c>
      <c r="C165" s="77" t="s">
        <v>30</v>
      </c>
      <c r="D165" s="81">
        <v>377.0</v>
      </c>
      <c r="E165" s="59" t="s">
        <v>31</v>
      </c>
      <c r="F165" s="54" t="s">
        <v>55</v>
      </c>
      <c r="G165" s="83">
        <v>46098.0</v>
      </c>
      <c r="H165" s="59" t="s">
        <v>33</v>
      </c>
      <c r="I165" s="62">
        <v>10456.84</v>
      </c>
    </row>
    <row r="166" ht="15.75" hidden="1" customHeight="1">
      <c r="A166" s="81" t="s">
        <v>236</v>
      </c>
      <c r="B166" s="81" t="s">
        <v>205</v>
      </c>
      <c r="C166" s="77" t="s">
        <v>30</v>
      </c>
      <c r="D166" s="81">
        <v>378.0</v>
      </c>
      <c r="E166" s="59" t="s">
        <v>31</v>
      </c>
      <c r="F166" s="79" t="s">
        <v>125</v>
      </c>
      <c r="G166" s="83">
        <v>46098.0</v>
      </c>
      <c r="H166" s="59" t="s">
        <v>33</v>
      </c>
      <c r="I166" s="62">
        <v>29908.46</v>
      </c>
    </row>
    <row r="167" ht="15.75" hidden="1" customHeight="1">
      <c r="A167" s="81" t="s">
        <v>237</v>
      </c>
      <c r="B167" s="76" t="s">
        <v>205</v>
      </c>
      <c r="C167" s="82" t="s">
        <v>30</v>
      </c>
      <c r="D167" s="81">
        <v>379.0</v>
      </c>
      <c r="E167" s="59" t="s">
        <v>31</v>
      </c>
      <c r="F167" s="25" t="s">
        <v>132</v>
      </c>
      <c r="G167" s="83">
        <v>46098.0</v>
      </c>
      <c r="H167" s="59" t="s">
        <v>33</v>
      </c>
      <c r="I167" s="62">
        <v>2256.3</v>
      </c>
    </row>
    <row r="168" ht="15.75" hidden="1" customHeight="1">
      <c r="A168" s="81" t="s">
        <v>238</v>
      </c>
      <c r="B168" s="76" t="s">
        <v>205</v>
      </c>
      <c r="C168" s="82" t="s">
        <v>30</v>
      </c>
      <c r="D168" s="81">
        <v>380.0</v>
      </c>
      <c r="E168" s="59" t="s">
        <v>31</v>
      </c>
      <c r="F168" s="79" t="s">
        <v>169</v>
      </c>
      <c r="G168" s="83">
        <v>46098.0</v>
      </c>
      <c r="H168" s="59" t="s">
        <v>33</v>
      </c>
      <c r="I168" s="62">
        <v>653.0</v>
      </c>
    </row>
    <row r="169" ht="15.75" hidden="1" customHeight="1">
      <c r="A169" s="81" t="s">
        <v>239</v>
      </c>
      <c r="B169" s="76" t="s">
        <v>205</v>
      </c>
      <c r="C169" s="82" t="s">
        <v>30</v>
      </c>
      <c r="D169" s="81">
        <v>382.0</v>
      </c>
      <c r="E169" s="59" t="s">
        <v>31</v>
      </c>
      <c r="F169" s="25" t="s">
        <v>130</v>
      </c>
      <c r="G169" s="83">
        <v>46098.0</v>
      </c>
      <c r="H169" s="59" t="s">
        <v>33</v>
      </c>
      <c r="I169" s="62">
        <v>915.6</v>
      </c>
    </row>
    <row r="170" ht="15.75" hidden="1" customHeight="1">
      <c r="A170" s="81" t="s">
        <v>240</v>
      </c>
      <c r="B170" s="76" t="s">
        <v>205</v>
      </c>
      <c r="C170" s="82" t="s">
        <v>30</v>
      </c>
      <c r="D170" s="81">
        <v>383.0</v>
      </c>
      <c r="E170" s="59" t="s">
        <v>31</v>
      </c>
      <c r="F170" s="54" t="s">
        <v>79</v>
      </c>
      <c r="G170" s="83">
        <v>46098.0</v>
      </c>
      <c r="H170" s="59" t="s">
        <v>33</v>
      </c>
      <c r="I170" s="62">
        <v>902.56</v>
      </c>
    </row>
    <row r="171" ht="15.75" hidden="1" customHeight="1">
      <c r="A171" s="81" t="s">
        <v>241</v>
      </c>
      <c r="B171" s="76" t="s">
        <v>205</v>
      </c>
      <c r="C171" s="85" t="s">
        <v>30</v>
      </c>
      <c r="D171" s="81">
        <v>384.0</v>
      </c>
      <c r="E171" s="59" t="s">
        <v>31</v>
      </c>
      <c r="F171" s="25" t="s">
        <v>140</v>
      </c>
      <c r="G171" s="83">
        <v>46098.0</v>
      </c>
      <c r="H171" s="59" t="s">
        <v>33</v>
      </c>
      <c r="I171" s="62">
        <v>1090.58</v>
      </c>
    </row>
    <row r="172" ht="15.75" hidden="1" customHeight="1">
      <c r="A172" s="76" t="s">
        <v>242</v>
      </c>
      <c r="B172" s="76" t="s">
        <v>205</v>
      </c>
      <c r="C172" s="82" t="s">
        <v>30</v>
      </c>
      <c r="D172" s="76">
        <v>419.0</v>
      </c>
      <c r="E172" s="59" t="s">
        <v>31</v>
      </c>
      <c r="F172" s="59" t="s">
        <v>146</v>
      </c>
      <c r="G172" s="86">
        <v>46118.0</v>
      </c>
      <c r="H172" s="59" t="s">
        <v>33</v>
      </c>
      <c r="I172" s="62">
        <v>105225.64</v>
      </c>
    </row>
    <row r="173" ht="15.75" hidden="1" customHeight="1">
      <c r="A173" s="76" t="s">
        <v>243</v>
      </c>
      <c r="B173" s="76" t="s">
        <v>205</v>
      </c>
      <c r="C173" s="82" t="s">
        <v>30</v>
      </c>
      <c r="D173" s="76">
        <v>420.0</v>
      </c>
      <c r="E173" s="59" t="s">
        <v>31</v>
      </c>
      <c r="F173" s="54" t="s">
        <v>55</v>
      </c>
      <c r="G173" s="86">
        <v>46118.0</v>
      </c>
      <c r="H173" s="59" t="s">
        <v>33</v>
      </c>
      <c r="I173" s="62">
        <v>9404.84</v>
      </c>
    </row>
    <row r="174" ht="15.75" hidden="1" customHeight="1">
      <c r="A174" s="76" t="s">
        <v>244</v>
      </c>
      <c r="B174" s="76" t="s">
        <v>205</v>
      </c>
      <c r="C174" s="82" t="s">
        <v>30</v>
      </c>
      <c r="D174" s="76">
        <v>424.0</v>
      </c>
      <c r="E174" s="59" t="s">
        <v>31</v>
      </c>
      <c r="F174" s="79" t="s">
        <v>125</v>
      </c>
      <c r="G174" s="86">
        <v>46118.0</v>
      </c>
      <c r="H174" s="59" t="s">
        <v>33</v>
      </c>
      <c r="I174" s="62">
        <v>46096.78</v>
      </c>
    </row>
    <row r="175" ht="15.75" customHeight="1">
      <c r="A175" s="76" t="s">
        <v>245</v>
      </c>
      <c r="B175" s="76" t="s">
        <v>205</v>
      </c>
      <c r="C175" s="85" t="s">
        <v>234</v>
      </c>
      <c r="D175" s="76">
        <v>421.0</v>
      </c>
      <c r="E175" s="59" t="s">
        <v>31</v>
      </c>
      <c r="F175" s="25" t="s">
        <v>140</v>
      </c>
      <c r="G175" s="86">
        <v>46118.0</v>
      </c>
      <c r="H175" s="59" t="s">
        <v>33</v>
      </c>
      <c r="I175" s="62">
        <v>801.08</v>
      </c>
    </row>
    <row r="176" ht="15.75" hidden="1" customHeight="1">
      <c r="A176" s="76" t="s">
        <v>246</v>
      </c>
      <c r="B176" s="76" t="s">
        <v>205</v>
      </c>
      <c r="C176" s="82" t="s">
        <v>30</v>
      </c>
      <c r="D176" s="76">
        <v>414.0</v>
      </c>
      <c r="E176" s="59" t="s">
        <v>31</v>
      </c>
      <c r="F176" s="25" t="s">
        <v>132</v>
      </c>
      <c r="G176" s="86">
        <v>46118.0</v>
      </c>
      <c r="H176" s="59" t="s">
        <v>33</v>
      </c>
      <c r="I176" s="62">
        <v>4265.53</v>
      </c>
    </row>
    <row r="177" ht="15.75" hidden="1" customHeight="1">
      <c r="A177" s="76" t="s">
        <v>247</v>
      </c>
      <c r="B177" s="76" t="s">
        <v>205</v>
      </c>
      <c r="C177" s="82" t="s">
        <v>30</v>
      </c>
      <c r="D177" s="76">
        <v>422.0</v>
      </c>
      <c r="E177" s="59" t="s">
        <v>31</v>
      </c>
      <c r="F177" s="79" t="s">
        <v>169</v>
      </c>
      <c r="G177" s="86">
        <v>46118.0</v>
      </c>
      <c r="H177" s="59" t="s">
        <v>33</v>
      </c>
      <c r="I177" s="62">
        <v>326.5</v>
      </c>
    </row>
    <row r="178" ht="15.75" hidden="1" customHeight="1">
      <c r="A178" s="76" t="s">
        <v>248</v>
      </c>
      <c r="B178" s="76" t="s">
        <v>205</v>
      </c>
      <c r="C178" s="82" t="s">
        <v>30</v>
      </c>
      <c r="D178" s="76">
        <v>415.0</v>
      </c>
      <c r="E178" s="59" t="s">
        <v>31</v>
      </c>
      <c r="F178" s="25" t="s">
        <v>130</v>
      </c>
      <c r="G178" s="86">
        <v>46118.0</v>
      </c>
      <c r="H178" s="59" t="s">
        <v>33</v>
      </c>
      <c r="I178" s="62">
        <v>1674.86</v>
      </c>
    </row>
    <row r="179" ht="15.75" hidden="1" customHeight="1">
      <c r="A179" s="76" t="s">
        <v>249</v>
      </c>
      <c r="B179" s="76" t="s">
        <v>205</v>
      </c>
      <c r="C179" s="82" t="s">
        <v>30</v>
      </c>
      <c r="D179" s="76">
        <v>416.0</v>
      </c>
      <c r="E179" s="59" t="s">
        <v>31</v>
      </c>
      <c r="F179" s="54" t="s">
        <v>119</v>
      </c>
      <c r="G179" s="86">
        <v>46118.0</v>
      </c>
      <c r="H179" s="59" t="s">
        <v>33</v>
      </c>
      <c r="I179" s="62">
        <v>3885.5</v>
      </c>
    </row>
    <row r="180" ht="15.75" hidden="1" customHeight="1">
      <c r="A180" s="76" t="s">
        <v>250</v>
      </c>
      <c r="B180" s="76" t="s">
        <v>205</v>
      </c>
      <c r="C180" s="82" t="s">
        <v>30</v>
      </c>
      <c r="D180" s="76">
        <v>417.0</v>
      </c>
      <c r="E180" s="59" t="s">
        <v>31</v>
      </c>
      <c r="F180" s="54" t="s">
        <v>148</v>
      </c>
      <c r="G180" s="86">
        <v>46118.0</v>
      </c>
      <c r="H180" s="59" t="s">
        <v>33</v>
      </c>
      <c r="I180" s="62">
        <v>14695.71</v>
      </c>
    </row>
    <row r="181" ht="15.75" hidden="1" customHeight="1">
      <c r="A181" s="76" t="s">
        <v>251</v>
      </c>
      <c r="B181" s="76" t="s">
        <v>205</v>
      </c>
      <c r="C181" s="82" t="s">
        <v>30</v>
      </c>
      <c r="D181" s="76">
        <v>418.0</v>
      </c>
      <c r="E181" s="59" t="s">
        <v>31</v>
      </c>
      <c r="F181" s="54" t="s">
        <v>79</v>
      </c>
      <c r="G181" s="86">
        <v>46118.0</v>
      </c>
      <c r="H181" s="59" t="s">
        <v>33</v>
      </c>
      <c r="I181" s="62">
        <v>706.93</v>
      </c>
    </row>
    <row r="182" ht="15.75" customHeight="1">
      <c r="A182" s="87" t="s">
        <v>252</v>
      </c>
      <c r="B182" s="76" t="s">
        <v>205</v>
      </c>
      <c r="C182" s="85" t="s">
        <v>234</v>
      </c>
      <c r="D182" s="87">
        <v>435.0</v>
      </c>
      <c r="E182" s="87" t="s">
        <v>31</v>
      </c>
      <c r="F182" s="79" t="s">
        <v>146</v>
      </c>
      <c r="G182" s="88">
        <v>46127.0</v>
      </c>
      <c r="H182" s="87" t="s">
        <v>33</v>
      </c>
      <c r="I182" s="89">
        <v>93127.85</v>
      </c>
    </row>
    <row r="183" ht="15.75" hidden="1" customHeight="1">
      <c r="A183" s="87" t="s">
        <v>253</v>
      </c>
      <c r="B183" s="76" t="s">
        <v>205</v>
      </c>
      <c r="C183" s="82" t="s">
        <v>30</v>
      </c>
      <c r="D183" s="87">
        <v>432.0</v>
      </c>
      <c r="E183" s="87" t="s">
        <v>31</v>
      </c>
      <c r="F183" s="54" t="s">
        <v>55</v>
      </c>
      <c r="G183" s="88">
        <v>46127.0</v>
      </c>
      <c r="H183" s="87" t="s">
        <v>33</v>
      </c>
      <c r="I183" s="89">
        <v>8435.93</v>
      </c>
    </row>
    <row r="184" ht="15.75" customHeight="1">
      <c r="A184" s="87" t="s">
        <v>254</v>
      </c>
      <c r="B184" s="76" t="s">
        <v>205</v>
      </c>
      <c r="C184" s="85" t="s">
        <v>234</v>
      </c>
      <c r="D184" s="87">
        <v>437.0</v>
      </c>
      <c r="E184" s="87" t="s">
        <v>31</v>
      </c>
      <c r="F184" s="79" t="s">
        <v>125</v>
      </c>
      <c r="G184" s="88">
        <v>46127.0</v>
      </c>
      <c r="H184" s="87" t="s">
        <v>33</v>
      </c>
      <c r="I184" s="89">
        <v>33777.52</v>
      </c>
    </row>
    <row r="185" ht="15.75" hidden="1" customHeight="1">
      <c r="A185" s="87" t="s">
        <v>255</v>
      </c>
      <c r="B185" s="76" t="s">
        <v>205</v>
      </c>
      <c r="C185" s="82" t="s">
        <v>30</v>
      </c>
      <c r="D185" s="87">
        <v>433.0</v>
      </c>
      <c r="E185" s="87" t="s">
        <v>31</v>
      </c>
      <c r="F185" s="25" t="s">
        <v>140</v>
      </c>
      <c r="G185" s="88">
        <v>46127.0</v>
      </c>
      <c r="H185" s="87" t="s">
        <v>33</v>
      </c>
      <c r="I185" s="89">
        <v>1229.62</v>
      </c>
    </row>
    <row r="186" ht="15.75" hidden="1" customHeight="1">
      <c r="A186" s="87" t="s">
        <v>256</v>
      </c>
      <c r="B186" s="76" t="s">
        <v>205</v>
      </c>
      <c r="C186" s="82" t="s">
        <v>30</v>
      </c>
      <c r="D186" s="87">
        <v>426.0</v>
      </c>
      <c r="E186" s="87" t="s">
        <v>31</v>
      </c>
      <c r="F186" s="25" t="s">
        <v>132</v>
      </c>
      <c r="G186" s="88">
        <v>46127.0</v>
      </c>
      <c r="H186" s="87" t="s">
        <v>33</v>
      </c>
      <c r="I186" s="89">
        <v>1961.64</v>
      </c>
    </row>
    <row r="187" ht="15.75" hidden="1" customHeight="1">
      <c r="A187" s="87" t="s">
        <v>257</v>
      </c>
      <c r="B187" s="76" t="s">
        <v>205</v>
      </c>
      <c r="C187" s="82" t="s">
        <v>30</v>
      </c>
      <c r="D187" s="87">
        <v>428.0</v>
      </c>
      <c r="E187" s="87" t="s">
        <v>31</v>
      </c>
      <c r="F187" s="79" t="s">
        <v>169</v>
      </c>
      <c r="G187" s="88">
        <v>46127.0</v>
      </c>
      <c r="H187" s="87" t="s">
        <v>33</v>
      </c>
      <c r="I187" s="89">
        <v>261.2</v>
      </c>
    </row>
    <row r="188" ht="15.75" hidden="1" customHeight="1">
      <c r="A188" s="87" t="s">
        <v>258</v>
      </c>
      <c r="B188" s="76" t="s">
        <v>205</v>
      </c>
      <c r="C188" s="82" t="s">
        <v>30</v>
      </c>
      <c r="D188" s="87">
        <v>427.0</v>
      </c>
      <c r="E188" s="87" t="s">
        <v>31</v>
      </c>
      <c r="F188" s="25" t="s">
        <v>130</v>
      </c>
      <c r="G188" s="88">
        <v>46127.0</v>
      </c>
      <c r="H188" s="87" t="s">
        <v>33</v>
      </c>
      <c r="I188" s="89">
        <v>915.6</v>
      </c>
    </row>
    <row r="189" ht="15.75" hidden="1" customHeight="1">
      <c r="A189" s="87" t="s">
        <v>259</v>
      </c>
      <c r="B189" s="76" t="s">
        <v>205</v>
      </c>
      <c r="C189" s="82" t="s">
        <v>30</v>
      </c>
      <c r="D189" s="87">
        <v>429.0</v>
      </c>
      <c r="E189" s="87" t="s">
        <v>31</v>
      </c>
      <c r="F189" s="54" t="s">
        <v>119</v>
      </c>
      <c r="G189" s="88">
        <v>46127.0</v>
      </c>
      <c r="H189" s="87" t="s">
        <v>33</v>
      </c>
      <c r="I189" s="89">
        <v>2922.64</v>
      </c>
    </row>
    <row r="190" ht="15.75" customHeight="1">
      <c r="A190" s="87" t="s">
        <v>260</v>
      </c>
      <c r="B190" s="76" t="s">
        <v>205</v>
      </c>
      <c r="C190" s="85" t="s">
        <v>234</v>
      </c>
      <c r="D190" s="87">
        <v>430.0</v>
      </c>
      <c r="E190" s="87" t="s">
        <v>31</v>
      </c>
      <c r="F190" s="54" t="s">
        <v>148</v>
      </c>
      <c r="G190" s="88">
        <v>46127.0</v>
      </c>
      <c r="H190" s="87" t="s">
        <v>33</v>
      </c>
      <c r="I190" s="89">
        <v>14332.84</v>
      </c>
    </row>
    <row r="191" ht="15.75" hidden="1" customHeight="1">
      <c r="A191" s="87" t="s">
        <v>261</v>
      </c>
      <c r="B191" s="76" t="s">
        <v>205</v>
      </c>
      <c r="C191" s="82" t="s">
        <v>30</v>
      </c>
      <c r="D191" s="87">
        <v>431.0</v>
      </c>
      <c r="E191" s="87" t="s">
        <v>31</v>
      </c>
      <c r="F191" s="54" t="s">
        <v>79</v>
      </c>
      <c r="G191" s="88">
        <v>46127.0</v>
      </c>
      <c r="H191" s="87" t="s">
        <v>33</v>
      </c>
      <c r="I191" s="89">
        <v>183.4</v>
      </c>
    </row>
    <row r="192" ht="15.75" customHeight="1">
      <c r="A192" s="76" t="s">
        <v>262</v>
      </c>
      <c r="B192" s="76" t="s">
        <v>205</v>
      </c>
      <c r="C192" s="90" t="s">
        <v>263</v>
      </c>
      <c r="D192" s="76">
        <v>460.0</v>
      </c>
      <c r="E192" s="76" t="s">
        <v>31</v>
      </c>
      <c r="F192" s="79" t="s">
        <v>146</v>
      </c>
      <c r="G192" s="91">
        <v>46142.0</v>
      </c>
      <c r="H192" s="76" t="s">
        <v>33</v>
      </c>
      <c r="I192" s="62">
        <v>92130.35</v>
      </c>
    </row>
    <row r="193" ht="15.75" customHeight="1">
      <c r="A193" s="76" t="s">
        <v>264</v>
      </c>
      <c r="B193" s="76" t="s">
        <v>205</v>
      </c>
      <c r="C193" s="85" t="s">
        <v>234</v>
      </c>
      <c r="D193" s="76">
        <v>461.0</v>
      </c>
      <c r="E193" s="76" t="s">
        <v>31</v>
      </c>
      <c r="F193" s="54" t="s">
        <v>55</v>
      </c>
      <c r="G193" s="91">
        <v>46142.0</v>
      </c>
      <c r="H193" s="76" t="s">
        <v>33</v>
      </c>
      <c r="I193" s="62">
        <v>7674.29</v>
      </c>
    </row>
    <row r="194" ht="18.0" customHeight="1">
      <c r="A194" s="76" t="s">
        <v>265</v>
      </c>
      <c r="B194" s="76" t="s">
        <v>205</v>
      </c>
      <c r="C194" s="85" t="s">
        <v>234</v>
      </c>
      <c r="D194" s="76">
        <v>462.0</v>
      </c>
      <c r="E194" s="76" t="s">
        <v>31</v>
      </c>
      <c r="F194" s="79" t="s">
        <v>125</v>
      </c>
      <c r="G194" s="91">
        <v>46142.0</v>
      </c>
      <c r="H194" s="76" t="s">
        <v>33</v>
      </c>
      <c r="I194" s="62">
        <v>40257.69</v>
      </c>
    </row>
    <row r="195" ht="15.75" customHeight="1">
      <c r="A195" s="76" t="s">
        <v>266</v>
      </c>
      <c r="B195" s="76" t="s">
        <v>205</v>
      </c>
      <c r="C195" s="85" t="s">
        <v>234</v>
      </c>
      <c r="D195" s="76">
        <v>463.0</v>
      </c>
      <c r="E195" s="76" t="s">
        <v>31</v>
      </c>
      <c r="F195" s="25" t="s">
        <v>140</v>
      </c>
      <c r="G195" s="91">
        <v>46142.0</v>
      </c>
      <c r="H195" s="76" t="s">
        <v>33</v>
      </c>
      <c r="I195" s="62">
        <v>949.52</v>
      </c>
    </row>
    <row r="196" ht="15.75" customHeight="1">
      <c r="A196" s="76" t="s">
        <v>267</v>
      </c>
      <c r="B196" s="76" t="s">
        <v>205</v>
      </c>
      <c r="C196" s="85" t="s">
        <v>234</v>
      </c>
      <c r="D196" s="76">
        <v>456.0</v>
      </c>
      <c r="E196" s="76" t="s">
        <v>31</v>
      </c>
      <c r="F196" s="25" t="s">
        <v>132</v>
      </c>
      <c r="G196" s="91">
        <v>46142.0</v>
      </c>
      <c r="H196" s="76" t="s">
        <v>33</v>
      </c>
      <c r="I196" s="62">
        <v>2812.9</v>
      </c>
    </row>
    <row r="197" ht="18.0" customHeight="1">
      <c r="A197" s="76" t="s">
        <v>268</v>
      </c>
      <c r="B197" s="76" t="s">
        <v>205</v>
      </c>
      <c r="C197" s="85" t="s">
        <v>234</v>
      </c>
      <c r="D197" s="76">
        <v>457.0</v>
      </c>
      <c r="E197" s="76" t="s">
        <v>31</v>
      </c>
      <c r="F197" s="25" t="s">
        <v>130</v>
      </c>
      <c r="G197" s="91">
        <v>46142.0</v>
      </c>
      <c r="H197" s="76" t="s">
        <v>33</v>
      </c>
      <c r="I197" s="62">
        <v>1213.8</v>
      </c>
    </row>
    <row r="198" ht="15.75" customHeight="1">
      <c r="A198" s="76" t="s">
        <v>269</v>
      </c>
      <c r="B198" s="76" t="s">
        <v>205</v>
      </c>
      <c r="C198" s="85" t="s">
        <v>234</v>
      </c>
      <c r="D198" s="76">
        <v>455.0</v>
      </c>
      <c r="E198" s="76" t="s">
        <v>31</v>
      </c>
      <c r="F198" s="54" t="s">
        <v>119</v>
      </c>
      <c r="G198" s="91">
        <v>46142.0</v>
      </c>
      <c r="H198" s="76" t="s">
        <v>33</v>
      </c>
      <c r="I198" s="62">
        <v>3448.47</v>
      </c>
    </row>
    <row r="199" ht="15.75" customHeight="1">
      <c r="A199" s="76" t="s">
        <v>270</v>
      </c>
      <c r="B199" s="76" t="s">
        <v>205</v>
      </c>
      <c r="C199" s="92" t="s">
        <v>271</v>
      </c>
      <c r="D199" s="76">
        <v>458.0</v>
      </c>
      <c r="E199" s="76" t="s">
        <v>31</v>
      </c>
      <c r="F199" s="54" t="s">
        <v>148</v>
      </c>
      <c r="G199" s="91">
        <v>46142.0</v>
      </c>
      <c r="H199" s="76" t="s">
        <v>33</v>
      </c>
      <c r="I199" s="62">
        <v>12360.56</v>
      </c>
    </row>
    <row r="200" ht="16.5" hidden="1" customHeight="1">
      <c r="A200" s="76" t="s">
        <v>272</v>
      </c>
      <c r="B200" s="76" t="s">
        <v>205</v>
      </c>
      <c r="C200" s="82" t="s">
        <v>30</v>
      </c>
      <c r="D200" s="76">
        <v>459.0</v>
      </c>
      <c r="E200" s="76" t="s">
        <v>31</v>
      </c>
      <c r="F200" s="54" t="s">
        <v>79</v>
      </c>
      <c r="G200" s="91">
        <v>46142.0</v>
      </c>
      <c r="H200" s="76" t="s">
        <v>33</v>
      </c>
      <c r="I200" s="62">
        <v>743.21</v>
      </c>
    </row>
    <row r="201" ht="15.75" customHeight="1">
      <c r="A201" s="81" t="s">
        <v>273</v>
      </c>
      <c r="B201" s="76" t="s">
        <v>205</v>
      </c>
      <c r="C201" s="92" t="s">
        <v>271</v>
      </c>
      <c r="D201" s="81">
        <v>505.0</v>
      </c>
      <c r="E201" s="81" t="s">
        <v>31</v>
      </c>
      <c r="F201" s="79" t="s">
        <v>146</v>
      </c>
      <c r="G201" s="93">
        <v>46157.0</v>
      </c>
      <c r="H201" s="81" t="s">
        <v>33</v>
      </c>
      <c r="I201" s="62">
        <v>93842.8</v>
      </c>
    </row>
    <row r="202" ht="15.75" customHeight="1">
      <c r="A202" s="81" t="s">
        <v>274</v>
      </c>
      <c r="B202" s="76" t="s">
        <v>205</v>
      </c>
      <c r="C202" s="92" t="s">
        <v>271</v>
      </c>
      <c r="D202" s="81">
        <v>506.0</v>
      </c>
      <c r="E202" s="81" t="s">
        <v>31</v>
      </c>
      <c r="F202" s="54" t="s">
        <v>55</v>
      </c>
      <c r="G202" s="93">
        <v>46157.0</v>
      </c>
      <c r="H202" s="81" t="s">
        <v>33</v>
      </c>
      <c r="I202" s="62">
        <v>6706.9</v>
      </c>
    </row>
    <row r="203" ht="15.75" customHeight="1">
      <c r="A203" s="94"/>
      <c r="B203" s="94"/>
      <c r="C203" s="26"/>
      <c r="D203" s="81">
        <v>507.0</v>
      </c>
      <c r="E203" s="81" t="s">
        <v>31</v>
      </c>
      <c r="F203" s="79" t="s">
        <v>125</v>
      </c>
      <c r="G203" s="93">
        <v>46157.0</v>
      </c>
      <c r="H203" s="81" t="s">
        <v>33</v>
      </c>
      <c r="I203" s="62">
        <v>37259.84</v>
      </c>
    </row>
    <row r="204" ht="16.5" customHeight="1">
      <c r="A204" s="81" t="s">
        <v>275</v>
      </c>
      <c r="B204" s="76" t="s">
        <v>205</v>
      </c>
      <c r="C204" s="90" t="s">
        <v>263</v>
      </c>
      <c r="D204" s="81">
        <v>508.0</v>
      </c>
      <c r="E204" s="81" t="s">
        <v>31</v>
      </c>
      <c r="F204" s="25" t="s">
        <v>140</v>
      </c>
      <c r="G204" s="93">
        <v>46157.0</v>
      </c>
      <c r="H204" s="81" t="s">
        <v>33</v>
      </c>
      <c r="I204" s="62">
        <v>1344.69</v>
      </c>
    </row>
    <row r="205" ht="18.0" customHeight="1">
      <c r="A205" s="81" t="s">
        <v>276</v>
      </c>
      <c r="B205" s="76" t="s">
        <v>205</v>
      </c>
      <c r="C205" s="90" t="s">
        <v>263</v>
      </c>
      <c r="D205" s="81">
        <v>499.0</v>
      </c>
      <c r="E205" s="81" t="s">
        <v>31</v>
      </c>
      <c r="F205" s="25" t="s">
        <v>132</v>
      </c>
      <c r="G205" s="93">
        <v>46157.0</v>
      </c>
      <c r="H205" s="81" t="s">
        <v>33</v>
      </c>
      <c r="I205" s="62">
        <v>2101.14</v>
      </c>
    </row>
    <row r="206" ht="15.75" customHeight="1">
      <c r="A206" s="81" t="s">
        <v>277</v>
      </c>
      <c r="B206" s="76" t="s">
        <v>205</v>
      </c>
      <c r="C206" s="85" t="s">
        <v>234</v>
      </c>
      <c r="D206" s="81">
        <v>500.0</v>
      </c>
      <c r="E206" s="81" t="s">
        <v>31</v>
      </c>
      <c r="F206" s="79" t="s">
        <v>169</v>
      </c>
      <c r="G206" s="93">
        <v>46157.0</v>
      </c>
      <c r="H206" s="81" t="s">
        <v>33</v>
      </c>
      <c r="I206" s="62">
        <v>261.6</v>
      </c>
    </row>
    <row r="207" ht="15.75" customHeight="1">
      <c r="A207" s="81" t="s">
        <v>278</v>
      </c>
      <c r="B207" s="76" t="s">
        <v>205</v>
      </c>
      <c r="C207" s="90" t="s">
        <v>263</v>
      </c>
      <c r="D207" s="81">
        <v>501.0</v>
      </c>
      <c r="E207" s="81" t="s">
        <v>31</v>
      </c>
      <c r="F207" s="25" t="s">
        <v>130</v>
      </c>
      <c r="G207" s="93">
        <v>46157.0</v>
      </c>
      <c r="H207" s="81" t="s">
        <v>33</v>
      </c>
      <c r="I207" s="62">
        <v>839.35</v>
      </c>
    </row>
    <row r="208" ht="15.75" customHeight="1">
      <c r="A208" s="81" t="s">
        <v>279</v>
      </c>
      <c r="B208" s="76" t="s">
        <v>205</v>
      </c>
      <c r="C208" s="92" t="s">
        <v>280</v>
      </c>
      <c r="D208" s="81">
        <v>502.0</v>
      </c>
      <c r="E208" s="81" t="s">
        <v>31</v>
      </c>
      <c r="F208" s="54" t="s">
        <v>119</v>
      </c>
      <c r="G208" s="93">
        <v>46157.0</v>
      </c>
      <c r="H208" s="81" t="s">
        <v>33</v>
      </c>
      <c r="I208" s="62">
        <v>2292.41</v>
      </c>
    </row>
    <row r="209" ht="15.75" customHeight="1">
      <c r="A209" s="81" t="s">
        <v>281</v>
      </c>
      <c r="B209" s="76" t="s">
        <v>205</v>
      </c>
      <c r="C209" s="92" t="s">
        <v>280</v>
      </c>
      <c r="D209" s="81">
        <v>503.0</v>
      </c>
      <c r="E209" s="81" t="s">
        <v>31</v>
      </c>
      <c r="F209" s="54" t="s">
        <v>148</v>
      </c>
      <c r="G209" s="93">
        <v>46157.0</v>
      </c>
      <c r="H209" s="81" t="s">
        <v>33</v>
      </c>
      <c r="I209" s="62">
        <v>14967.34</v>
      </c>
    </row>
    <row r="210" ht="15.75" customHeight="1">
      <c r="A210" s="81" t="s">
        <v>282</v>
      </c>
      <c r="B210" s="76" t="s">
        <v>205</v>
      </c>
      <c r="C210" s="92" t="s">
        <v>280</v>
      </c>
      <c r="D210" s="81">
        <v>504.0</v>
      </c>
      <c r="E210" s="81" t="s">
        <v>31</v>
      </c>
      <c r="F210" s="54" t="s">
        <v>79</v>
      </c>
      <c r="G210" s="93">
        <v>46157.0</v>
      </c>
      <c r="H210" s="81" t="s">
        <v>33</v>
      </c>
      <c r="I210" s="62">
        <v>516.4</v>
      </c>
    </row>
    <row r="211" ht="15.75" customHeight="1">
      <c r="C211" s="95"/>
      <c r="F211" s="96"/>
      <c r="G211" s="97"/>
      <c r="I211" s="4"/>
    </row>
    <row r="212" ht="15.75" customHeight="1">
      <c r="C212" s="95"/>
      <c r="F212" s="96"/>
      <c r="G212" s="97"/>
      <c r="I212" s="4"/>
    </row>
    <row r="213" ht="15.75" customHeight="1">
      <c r="C213" s="95"/>
      <c r="F213" s="96"/>
      <c r="G213" s="97"/>
      <c r="I213" s="4"/>
    </row>
    <row r="214" ht="15.75" customHeight="1">
      <c r="C214" s="95"/>
      <c r="F214" s="96"/>
      <c r="G214" s="97"/>
      <c r="I214" s="4"/>
    </row>
    <row r="215" ht="15.75" customHeight="1">
      <c r="C215" s="95"/>
      <c r="F215" s="96"/>
      <c r="G215" s="97"/>
      <c r="I215" s="4"/>
    </row>
    <row r="216" ht="15.75" customHeight="1">
      <c r="C216" s="95"/>
      <c r="F216" s="96"/>
      <c r="G216" s="97"/>
      <c r="I216" s="4"/>
    </row>
    <row r="217" ht="15.75" customHeight="1">
      <c r="C217" s="95"/>
      <c r="F217" s="96"/>
      <c r="G217" s="97"/>
      <c r="I217" s="4"/>
    </row>
    <row r="218" ht="15.75" customHeight="1">
      <c r="C218" s="95"/>
      <c r="F218" s="96"/>
      <c r="G218" s="97"/>
      <c r="I218" s="4"/>
    </row>
    <row r="219" ht="15.75" customHeight="1">
      <c r="C219" s="95"/>
      <c r="F219" s="96"/>
      <c r="G219" s="97"/>
      <c r="I219" s="4"/>
    </row>
    <row r="220" ht="15.75" customHeight="1">
      <c r="C220" s="95"/>
      <c r="F220" s="96"/>
      <c r="G220" s="97"/>
      <c r="I220" s="4"/>
    </row>
    <row r="221" ht="15.75" customHeight="1">
      <c r="C221" s="95"/>
      <c r="F221" s="96"/>
      <c r="G221" s="97"/>
      <c r="I221" s="4"/>
    </row>
    <row r="222" ht="15.75" customHeight="1">
      <c r="C222" s="95"/>
      <c r="F222" s="96"/>
      <c r="G222" s="97"/>
      <c r="I222" s="4"/>
    </row>
    <row r="223" ht="15.75" customHeight="1">
      <c r="C223" s="95"/>
      <c r="F223" s="96"/>
      <c r="G223" s="97"/>
      <c r="I223" s="4"/>
    </row>
    <row r="224" ht="15.75" customHeight="1">
      <c r="C224" s="95"/>
      <c r="F224" s="96"/>
      <c r="G224" s="97"/>
      <c r="I224" s="4"/>
    </row>
    <row r="225" ht="15.75" customHeight="1">
      <c r="C225" s="95"/>
      <c r="F225" s="96"/>
      <c r="G225" s="97"/>
      <c r="I225" s="4"/>
    </row>
    <row r="226" ht="15.75" customHeight="1">
      <c r="C226" s="95"/>
      <c r="F226" s="96"/>
      <c r="G226" s="97"/>
      <c r="I226" s="4"/>
    </row>
    <row r="227" ht="15.75" customHeight="1">
      <c r="C227" s="95"/>
      <c r="F227" s="96"/>
      <c r="G227" s="97"/>
      <c r="I227" s="4"/>
    </row>
    <row r="228" ht="15.75" customHeight="1">
      <c r="C228" s="95"/>
      <c r="F228" s="96"/>
      <c r="G228" s="97"/>
      <c r="I228" s="4"/>
    </row>
    <row r="229" ht="15.75" customHeight="1">
      <c r="C229" s="95"/>
      <c r="F229" s="96"/>
      <c r="G229" s="97"/>
      <c r="I229" s="4"/>
    </row>
    <row r="230" ht="15.75" customHeight="1">
      <c r="C230" s="95"/>
      <c r="F230" s="96"/>
      <c r="G230" s="97"/>
      <c r="I230" s="4"/>
    </row>
    <row r="231" ht="15.75" customHeight="1">
      <c r="C231" s="95"/>
      <c r="F231" s="96"/>
      <c r="G231" s="97"/>
      <c r="I231" s="4"/>
    </row>
    <row r="232" ht="15.75" customHeight="1">
      <c r="C232" s="95"/>
      <c r="F232" s="96"/>
      <c r="G232" s="97"/>
      <c r="I232" s="4"/>
    </row>
    <row r="233" ht="15.75" customHeight="1">
      <c r="C233" s="95"/>
      <c r="F233" s="96"/>
      <c r="G233" s="97"/>
      <c r="I233" s="4"/>
    </row>
    <row r="234" ht="15.75" customHeight="1">
      <c r="C234" s="95"/>
      <c r="F234" s="96"/>
      <c r="G234" s="97"/>
      <c r="I234" s="4"/>
    </row>
    <row r="235" ht="15.75" customHeight="1">
      <c r="C235" s="95"/>
      <c r="F235" s="96"/>
      <c r="G235" s="97"/>
      <c r="I235" s="4"/>
    </row>
    <row r="236" ht="15.75" customHeight="1">
      <c r="C236" s="95"/>
      <c r="F236" s="96"/>
      <c r="G236" s="97"/>
      <c r="I236" s="4"/>
    </row>
    <row r="237" ht="15.75" customHeight="1">
      <c r="C237" s="95"/>
      <c r="F237" s="96"/>
      <c r="G237" s="97"/>
      <c r="I237" s="4"/>
    </row>
    <row r="238" ht="15.75" customHeight="1">
      <c r="C238" s="95"/>
      <c r="F238" s="96"/>
      <c r="G238" s="97"/>
      <c r="I238" s="4"/>
    </row>
    <row r="239" ht="15.75" customHeight="1">
      <c r="C239" s="95"/>
      <c r="F239" s="96"/>
      <c r="G239" s="97"/>
      <c r="I239" s="4"/>
    </row>
    <row r="240" ht="15.75" customHeight="1">
      <c r="C240" s="95"/>
      <c r="F240" s="96"/>
      <c r="G240" s="97"/>
      <c r="I240" s="4"/>
    </row>
    <row r="241" ht="15.75" customHeight="1">
      <c r="C241" s="95"/>
      <c r="F241" s="96"/>
      <c r="G241" s="97"/>
      <c r="I241" s="4"/>
    </row>
    <row r="242" ht="15.75" customHeight="1">
      <c r="C242" s="95"/>
      <c r="F242" s="96"/>
      <c r="G242" s="97"/>
      <c r="I242" s="4"/>
    </row>
    <row r="243" ht="15.75" customHeight="1">
      <c r="C243" s="95"/>
      <c r="F243" s="96"/>
      <c r="G243" s="97"/>
      <c r="I243" s="4"/>
    </row>
    <row r="244" ht="15.75" customHeight="1">
      <c r="C244" s="95"/>
      <c r="F244" s="96"/>
      <c r="G244" s="97"/>
      <c r="I244" s="4"/>
    </row>
    <row r="245" ht="15.75" customHeight="1">
      <c r="C245" s="95"/>
      <c r="F245" s="96"/>
      <c r="G245" s="97"/>
      <c r="I245" s="4"/>
    </row>
    <row r="246" ht="15.75" customHeight="1">
      <c r="C246" s="95"/>
      <c r="F246" s="96"/>
      <c r="G246" s="97"/>
      <c r="I246" s="4"/>
    </row>
    <row r="247" ht="15.75" customHeight="1">
      <c r="C247" s="95"/>
      <c r="F247" s="96"/>
      <c r="G247" s="97"/>
      <c r="I247" s="4"/>
    </row>
    <row r="248" ht="15.75" customHeight="1">
      <c r="C248" s="95"/>
      <c r="F248" s="96"/>
      <c r="G248" s="97"/>
      <c r="I248" s="4"/>
    </row>
    <row r="249" ht="15.75" customHeight="1">
      <c r="C249" s="95"/>
      <c r="F249" s="96"/>
      <c r="G249" s="97"/>
      <c r="I249" s="4"/>
    </row>
    <row r="250" ht="15.75" customHeight="1">
      <c r="C250" s="95"/>
      <c r="F250" s="96"/>
      <c r="G250" s="97"/>
      <c r="I250" s="4"/>
    </row>
    <row r="251" ht="15.75" customHeight="1">
      <c r="C251" s="95"/>
      <c r="F251" s="96"/>
      <c r="G251" s="97"/>
      <c r="I251" s="4"/>
    </row>
    <row r="252" ht="15.75" customHeight="1">
      <c r="C252" s="95"/>
      <c r="F252" s="96"/>
      <c r="G252" s="97"/>
      <c r="I252" s="4"/>
    </row>
    <row r="253" ht="15.75" customHeight="1">
      <c r="C253" s="95"/>
      <c r="F253" s="96"/>
      <c r="G253" s="97"/>
      <c r="I253" s="4"/>
    </row>
    <row r="254" ht="15.75" customHeight="1">
      <c r="C254" s="95"/>
      <c r="F254" s="96"/>
      <c r="G254" s="97"/>
      <c r="I254" s="4"/>
    </row>
    <row r="255" ht="15.75" customHeight="1">
      <c r="C255" s="95"/>
      <c r="F255" s="96"/>
      <c r="G255" s="97"/>
      <c r="I255" s="4"/>
    </row>
    <row r="256" ht="15.75" customHeight="1">
      <c r="C256" s="95"/>
      <c r="F256" s="96"/>
      <c r="G256" s="97"/>
      <c r="I256" s="4"/>
    </row>
    <row r="257" ht="15.75" customHeight="1">
      <c r="C257" s="95"/>
      <c r="F257" s="96"/>
      <c r="G257" s="97"/>
      <c r="I257" s="4"/>
    </row>
    <row r="258" ht="15.75" customHeight="1">
      <c r="C258" s="95"/>
      <c r="F258" s="96"/>
      <c r="G258" s="97"/>
      <c r="I258" s="4"/>
    </row>
    <row r="259" ht="15.75" customHeight="1">
      <c r="C259" s="95"/>
      <c r="F259" s="96"/>
      <c r="G259" s="97"/>
      <c r="I259" s="4"/>
    </row>
    <row r="260" ht="15.75" customHeight="1">
      <c r="C260" s="95"/>
      <c r="F260" s="96"/>
      <c r="G260" s="97"/>
      <c r="I260" s="4"/>
    </row>
    <row r="261" ht="15.75" customHeight="1">
      <c r="C261" s="95"/>
      <c r="F261" s="96"/>
      <c r="G261" s="97"/>
      <c r="I261" s="4"/>
    </row>
    <row r="262" ht="15.75" customHeight="1">
      <c r="C262" s="95"/>
      <c r="F262" s="96"/>
      <c r="G262" s="97"/>
      <c r="I262" s="4"/>
    </row>
    <row r="263" ht="15.75" customHeight="1">
      <c r="C263" s="95"/>
      <c r="F263" s="96"/>
      <c r="G263" s="97"/>
      <c r="I263" s="4"/>
    </row>
    <row r="264" ht="15.75" customHeight="1">
      <c r="C264" s="95"/>
      <c r="F264" s="96"/>
      <c r="G264" s="97"/>
      <c r="I264" s="4"/>
    </row>
    <row r="265" ht="15.75" customHeight="1">
      <c r="C265" s="95"/>
      <c r="F265" s="96"/>
      <c r="G265" s="97"/>
      <c r="I265" s="4"/>
    </row>
    <row r="266" ht="15.75" customHeight="1">
      <c r="C266" s="95"/>
      <c r="F266" s="96"/>
      <c r="G266" s="97"/>
      <c r="I266" s="4"/>
    </row>
    <row r="267" ht="15.75" customHeight="1">
      <c r="C267" s="95"/>
      <c r="F267" s="96"/>
      <c r="G267" s="97"/>
      <c r="I267" s="4"/>
    </row>
    <row r="268" ht="15.75" customHeight="1">
      <c r="C268" s="95"/>
      <c r="F268" s="96"/>
      <c r="G268" s="97"/>
      <c r="I268" s="4"/>
    </row>
    <row r="269" ht="15.75" customHeight="1">
      <c r="C269" s="95"/>
      <c r="F269" s="96"/>
      <c r="G269" s="97"/>
      <c r="I269" s="4"/>
    </row>
    <row r="270" ht="15.75" customHeight="1">
      <c r="C270" s="95"/>
      <c r="F270" s="96"/>
      <c r="G270" s="97"/>
      <c r="I270" s="4"/>
    </row>
    <row r="271" ht="15.75" customHeight="1">
      <c r="C271" s="95"/>
      <c r="F271" s="96"/>
      <c r="G271" s="97"/>
      <c r="I271" s="4"/>
    </row>
    <row r="272" ht="15.75" customHeight="1">
      <c r="C272" s="95"/>
      <c r="F272" s="96"/>
      <c r="G272" s="97"/>
      <c r="I272" s="4"/>
    </row>
    <row r="273" ht="15.75" customHeight="1">
      <c r="C273" s="95"/>
      <c r="F273" s="96"/>
      <c r="G273" s="97"/>
      <c r="I273" s="4"/>
    </row>
    <row r="274" ht="15.75" customHeight="1">
      <c r="C274" s="95"/>
      <c r="F274" s="96"/>
      <c r="G274" s="97"/>
      <c r="I274" s="4"/>
    </row>
    <row r="275" ht="15.75" customHeight="1">
      <c r="C275" s="95"/>
      <c r="F275" s="96"/>
      <c r="G275" s="97"/>
      <c r="I275" s="4"/>
    </row>
    <row r="276" ht="15.75" customHeight="1">
      <c r="C276" s="95"/>
      <c r="F276" s="96"/>
      <c r="G276" s="97"/>
      <c r="I276" s="4"/>
    </row>
    <row r="277" ht="15.75" customHeight="1">
      <c r="C277" s="95"/>
      <c r="F277" s="96"/>
      <c r="G277" s="97"/>
      <c r="I277" s="4"/>
    </row>
    <row r="278" ht="15.75" customHeight="1">
      <c r="C278" s="95"/>
      <c r="F278" s="96"/>
      <c r="G278" s="97"/>
      <c r="I278" s="4"/>
    </row>
    <row r="279" ht="15.75" customHeight="1">
      <c r="C279" s="95"/>
      <c r="F279" s="96"/>
      <c r="G279" s="97"/>
      <c r="I279" s="4"/>
    </row>
    <row r="280" ht="15.75" customHeight="1">
      <c r="C280" s="95"/>
      <c r="F280" s="96"/>
      <c r="G280" s="97"/>
      <c r="I280" s="4"/>
    </row>
    <row r="281" ht="15.75" customHeight="1">
      <c r="C281" s="95"/>
      <c r="F281" s="96"/>
      <c r="G281" s="97"/>
      <c r="I281" s="4"/>
    </row>
    <row r="282" ht="15.75" customHeight="1">
      <c r="C282" s="95"/>
      <c r="F282" s="96"/>
      <c r="G282" s="97"/>
      <c r="I282" s="4"/>
    </row>
    <row r="283" ht="15.75" customHeight="1">
      <c r="C283" s="95"/>
      <c r="F283" s="96"/>
      <c r="G283" s="97"/>
      <c r="I283" s="4"/>
    </row>
    <row r="284" ht="15.75" customHeight="1">
      <c r="C284" s="95"/>
      <c r="F284" s="96"/>
      <c r="G284" s="97"/>
      <c r="I284" s="4"/>
    </row>
    <row r="285" ht="15.75" customHeight="1">
      <c r="C285" s="95"/>
      <c r="F285" s="96"/>
      <c r="G285" s="97"/>
      <c r="I285" s="4"/>
    </row>
    <row r="286" ht="15.75" customHeight="1">
      <c r="C286" s="95"/>
      <c r="F286" s="96"/>
      <c r="G286" s="97"/>
      <c r="I286" s="4"/>
    </row>
    <row r="287" ht="15.75" customHeight="1">
      <c r="C287" s="95"/>
      <c r="F287" s="96"/>
      <c r="G287" s="97"/>
      <c r="I287" s="4"/>
    </row>
    <row r="288" ht="15.75" customHeight="1">
      <c r="C288" s="95"/>
      <c r="F288" s="96"/>
      <c r="G288" s="97"/>
      <c r="I288" s="4"/>
    </row>
    <row r="289" ht="15.75" customHeight="1">
      <c r="C289" s="95"/>
      <c r="F289" s="96"/>
      <c r="G289" s="97"/>
      <c r="I289" s="4"/>
    </row>
    <row r="290" ht="15.75" customHeight="1">
      <c r="C290" s="95"/>
      <c r="F290" s="96"/>
      <c r="G290" s="97"/>
      <c r="I290" s="4"/>
    </row>
    <row r="291" ht="15.75" customHeight="1">
      <c r="C291" s="95"/>
      <c r="F291" s="96"/>
      <c r="G291" s="97"/>
      <c r="I291" s="4"/>
    </row>
    <row r="292" ht="15.75" customHeight="1">
      <c r="C292" s="95"/>
      <c r="F292" s="96"/>
      <c r="G292" s="97"/>
      <c r="I292" s="4"/>
    </row>
    <row r="293" ht="15.75" customHeight="1">
      <c r="C293" s="95"/>
      <c r="F293" s="96"/>
      <c r="G293" s="97"/>
      <c r="I293" s="4"/>
    </row>
    <row r="294" ht="15.75" customHeight="1">
      <c r="C294" s="95"/>
      <c r="F294" s="96"/>
      <c r="G294" s="97"/>
      <c r="I294" s="4"/>
    </row>
    <row r="295" ht="15.75" customHeight="1">
      <c r="C295" s="95"/>
      <c r="F295" s="96"/>
      <c r="G295" s="97"/>
      <c r="I295" s="4"/>
    </row>
    <row r="296" ht="15.75" customHeight="1">
      <c r="C296" s="95"/>
      <c r="F296" s="96"/>
      <c r="G296" s="97"/>
      <c r="I296" s="4"/>
    </row>
    <row r="297" ht="15.75" customHeight="1">
      <c r="C297" s="95"/>
      <c r="F297" s="96"/>
      <c r="G297" s="97"/>
      <c r="I297" s="4"/>
    </row>
    <row r="298" ht="15.75" customHeight="1">
      <c r="C298" s="95"/>
      <c r="F298" s="96"/>
      <c r="G298" s="97"/>
      <c r="I298" s="4"/>
    </row>
    <row r="299" ht="15.75" customHeight="1">
      <c r="C299" s="95"/>
      <c r="F299" s="96"/>
      <c r="G299" s="97"/>
      <c r="I299" s="4"/>
    </row>
    <row r="300" ht="15.75" customHeight="1">
      <c r="C300" s="95"/>
      <c r="F300" s="96"/>
      <c r="G300" s="97"/>
      <c r="I300" s="4"/>
    </row>
    <row r="301" ht="15.75" customHeight="1">
      <c r="C301" s="95"/>
      <c r="F301" s="96"/>
      <c r="G301" s="97"/>
      <c r="I301" s="4"/>
    </row>
    <row r="302" ht="15.75" customHeight="1">
      <c r="C302" s="95"/>
      <c r="F302" s="96"/>
      <c r="G302" s="97"/>
      <c r="I302" s="4"/>
    </row>
    <row r="303" ht="15.75" customHeight="1">
      <c r="C303" s="95"/>
      <c r="F303" s="96"/>
      <c r="G303" s="97"/>
      <c r="I303" s="4"/>
    </row>
    <row r="304" ht="15.75" customHeight="1">
      <c r="C304" s="95"/>
      <c r="F304" s="96"/>
      <c r="G304" s="97"/>
      <c r="I304" s="4"/>
    </row>
    <row r="305" ht="15.75" customHeight="1">
      <c r="C305" s="95"/>
      <c r="F305" s="96"/>
      <c r="G305" s="97"/>
      <c r="I305" s="4"/>
    </row>
    <row r="306" ht="15.75" customHeight="1">
      <c r="C306" s="95"/>
      <c r="F306" s="96"/>
      <c r="G306" s="97"/>
      <c r="I306" s="4"/>
    </row>
    <row r="307" ht="15.75" customHeight="1">
      <c r="C307" s="95"/>
      <c r="F307" s="96"/>
      <c r="G307" s="97"/>
      <c r="I307" s="4"/>
    </row>
    <row r="308" ht="15.75" customHeight="1">
      <c r="C308" s="95"/>
      <c r="F308" s="96"/>
      <c r="G308" s="97"/>
      <c r="I308" s="4"/>
    </row>
    <row r="309" ht="15.75" customHeight="1">
      <c r="C309" s="95"/>
      <c r="F309" s="96"/>
      <c r="G309" s="97"/>
      <c r="I309" s="4"/>
    </row>
    <row r="310" ht="15.75" customHeight="1">
      <c r="C310" s="95"/>
      <c r="F310" s="96"/>
      <c r="G310" s="97"/>
      <c r="I310" s="4"/>
    </row>
    <row r="311" ht="15.75" customHeight="1">
      <c r="C311" s="95"/>
      <c r="F311" s="96"/>
      <c r="G311" s="97"/>
      <c r="I311" s="4"/>
    </row>
    <row r="312" ht="15.75" customHeight="1">
      <c r="C312" s="95"/>
      <c r="F312" s="96"/>
      <c r="G312" s="97"/>
      <c r="I312" s="4"/>
    </row>
    <row r="313" ht="15.75" customHeight="1">
      <c r="C313" s="95"/>
      <c r="F313" s="96"/>
      <c r="G313" s="97"/>
      <c r="I313" s="4"/>
    </row>
    <row r="314" ht="15.75" customHeight="1">
      <c r="C314" s="95"/>
      <c r="F314" s="96"/>
      <c r="G314" s="97"/>
      <c r="I314" s="4"/>
    </row>
    <row r="315" ht="15.75" customHeight="1">
      <c r="C315" s="95"/>
      <c r="F315" s="96"/>
      <c r="G315" s="97"/>
      <c r="I315" s="4"/>
    </row>
    <row r="316" ht="15.75" customHeight="1">
      <c r="C316" s="95"/>
      <c r="F316" s="96"/>
      <c r="G316" s="97"/>
      <c r="I316" s="4"/>
    </row>
    <row r="317" ht="15.75" customHeight="1">
      <c r="C317" s="95"/>
      <c r="F317" s="96"/>
      <c r="G317" s="97"/>
      <c r="I317" s="4"/>
    </row>
    <row r="318" ht="15.75" customHeight="1">
      <c r="C318" s="95"/>
      <c r="F318" s="96"/>
      <c r="G318" s="97"/>
      <c r="I318" s="4"/>
    </row>
    <row r="319" ht="15.75" customHeight="1">
      <c r="C319" s="95"/>
      <c r="F319" s="96"/>
      <c r="G319" s="97"/>
      <c r="I319" s="4"/>
    </row>
    <row r="320" ht="15.75" customHeight="1">
      <c r="C320" s="95"/>
      <c r="F320" s="96"/>
      <c r="G320" s="97"/>
      <c r="I320" s="4"/>
    </row>
    <row r="321" ht="15.75" customHeight="1">
      <c r="C321" s="95"/>
      <c r="F321" s="96"/>
      <c r="G321" s="97"/>
      <c r="I321" s="4"/>
    </row>
    <row r="322" ht="15.75" customHeight="1">
      <c r="C322" s="95"/>
      <c r="F322" s="96"/>
      <c r="G322" s="97"/>
      <c r="I322" s="4"/>
    </row>
    <row r="323" ht="15.75" customHeight="1">
      <c r="C323" s="95"/>
      <c r="F323" s="96"/>
      <c r="G323" s="97"/>
      <c r="I323" s="4"/>
    </row>
    <row r="324" ht="15.75" customHeight="1">
      <c r="C324" s="95"/>
      <c r="F324" s="96"/>
      <c r="G324" s="97"/>
      <c r="I324" s="4"/>
    </row>
    <row r="325" ht="15.75" customHeight="1">
      <c r="C325" s="95"/>
      <c r="F325" s="96"/>
      <c r="G325" s="97"/>
      <c r="I325" s="4"/>
    </row>
    <row r="326" ht="15.75" customHeight="1">
      <c r="C326" s="95"/>
      <c r="F326" s="96"/>
      <c r="G326" s="97"/>
      <c r="I326" s="4"/>
    </row>
    <row r="327" ht="15.75" customHeight="1">
      <c r="C327" s="95"/>
      <c r="F327" s="96"/>
      <c r="G327" s="97"/>
      <c r="I327" s="4"/>
    </row>
    <row r="328" ht="15.75" customHeight="1">
      <c r="C328" s="95"/>
      <c r="F328" s="96"/>
      <c r="G328" s="97"/>
      <c r="I328" s="4"/>
    </row>
    <row r="329" ht="15.75" customHeight="1">
      <c r="C329" s="95"/>
      <c r="F329" s="96"/>
      <c r="G329" s="97"/>
      <c r="I329" s="4"/>
    </row>
    <row r="330" ht="15.75" customHeight="1">
      <c r="C330" s="95"/>
      <c r="F330" s="96"/>
      <c r="G330" s="97"/>
      <c r="I330" s="4"/>
    </row>
    <row r="331" ht="15.75" customHeight="1">
      <c r="C331" s="95"/>
      <c r="F331" s="96"/>
      <c r="G331" s="97"/>
      <c r="I331" s="4"/>
    </row>
    <row r="332" ht="15.75" customHeight="1">
      <c r="C332" s="95"/>
      <c r="F332" s="96"/>
      <c r="G332" s="97"/>
      <c r="I332" s="4"/>
    </row>
    <row r="333" ht="15.75" customHeight="1">
      <c r="C333" s="95"/>
      <c r="F333" s="96"/>
      <c r="G333" s="97"/>
      <c r="I333" s="4"/>
    </row>
    <row r="334" ht="15.75" customHeight="1">
      <c r="C334" s="95"/>
      <c r="F334" s="96"/>
      <c r="G334" s="97"/>
      <c r="I334" s="4"/>
    </row>
    <row r="335" ht="15.75" customHeight="1">
      <c r="C335" s="95"/>
      <c r="F335" s="96"/>
      <c r="G335" s="97"/>
      <c r="I335" s="4"/>
    </row>
    <row r="336" ht="15.75" customHeight="1">
      <c r="C336" s="95"/>
      <c r="F336" s="96"/>
      <c r="G336" s="97"/>
      <c r="I336" s="4"/>
    </row>
    <row r="337" ht="15.75" customHeight="1">
      <c r="C337" s="95"/>
      <c r="F337" s="96"/>
      <c r="G337" s="97"/>
      <c r="I337" s="4"/>
    </row>
    <row r="338" ht="15.75" customHeight="1">
      <c r="C338" s="95"/>
      <c r="F338" s="96"/>
      <c r="G338" s="97"/>
      <c r="I338" s="4"/>
    </row>
    <row r="339" ht="15.75" customHeight="1">
      <c r="C339" s="95"/>
      <c r="F339" s="96"/>
      <c r="G339" s="97"/>
      <c r="I339" s="4"/>
    </row>
    <row r="340" ht="15.75" customHeight="1">
      <c r="C340" s="95"/>
      <c r="F340" s="96"/>
      <c r="G340" s="97"/>
      <c r="I340" s="4"/>
    </row>
    <row r="341" ht="15.75" customHeight="1">
      <c r="C341" s="95"/>
      <c r="F341" s="96"/>
      <c r="G341" s="97"/>
      <c r="I341" s="4"/>
    </row>
    <row r="342" ht="15.75" customHeight="1">
      <c r="C342" s="95"/>
      <c r="F342" s="96"/>
      <c r="G342" s="97"/>
      <c r="I342" s="4"/>
    </row>
    <row r="343" ht="15.75" customHeight="1">
      <c r="C343" s="95"/>
      <c r="F343" s="96"/>
      <c r="G343" s="97"/>
      <c r="I343" s="4"/>
    </row>
    <row r="344" ht="15.75" customHeight="1">
      <c r="C344" s="95"/>
      <c r="F344" s="96"/>
      <c r="G344" s="97"/>
      <c r="I344" s="4"/>
    </row>
    <row r="345" ht="15.75" customHeight="1">
      <c r="C345" s="95"/>
      <c r="F345" s="96"/>
      <c r="G345" s="97"/>
      <c r="I345" s="4"/>
    </row>
    <row r="346" ht="15.75" customHeight="1">
      <c r="C346" s="95"/>
      <c r="F346" s="96"/>
      <c r="G346" s="97"/>
      <c r="I346" s="4"/>
    </row>
    <row r="347" ht="15.75" customHeight="1">
      <c r="C347" s="95"/>
      <c r="F347" s="96"/>
      <c r="G347" s="97"/>
      <c r="I347" s="4"/>
    </row>
    <row r="348" ht="15.75" customHeight="1">
      <c r="C348" s="95"/>
      <c r="F348" s="96"/>
      <c r="G348" s="97"/>
      <c r="I348" s="4"/>
    </row>
    <row r="349" ht="15.75" customHeight="1">
      <c r="C349" s="95"/>
      <c r="F349" s="96"/>
      <c r="G349" s="97"/>
      <c r="I349" s="4"/>
    </row>
    <row r="350" ht="15.75" customHeight="1">
      <c r="C350" s="95"/>
      <c r="F350" s="96"/>
      <c r="G350" s="97"/>
      <c r="I350" s="4"/>
    </row>
    <row r="351" ht="15.75" customHeight="1">
      <c r="C351" s="95"/>
      <c r="F351" s="96"/>
      <c r="G351" s="97"/>
      <c r="I351" s="4"/>
    </row>
    <row r="352" ht="15.75" customHeight="1">
      <c r="C352" s="95"/>
      <c r="F352" s="96"/>
      <c r="G352" s="97"/>
      <c r="I352" s="4"/>
    </row>
    <row r="353" ht="15.75" customHeight="1">
      <c r="C353" s="95"/>
      <c r="F353" s="96"/>
      <c r="G353" s="97"/>
      <c r="I353" s="4"/>
    </row>
    <row r="354" ht="15.75" customHeight="1">
      <c r="C354" s="95"/>
      <c r="F354" s="96"/>
      <c r="G354" s="97"/>
      <c r="I354" s="4"/>
    </row>
    <row r="355" ht="15.75" customHeight="1">
      <c r="C355" s="95"/>
      <c r="F355" s="96"/>
      <c r="G355" s="97"/>
      <c r="I355" s="4"/>
    </row>
    <row r="356" ht="15.75" customHeight="1">
      <c r="C356" s="95"/>
      <c r="F356" s="96"/>
      <c r="G356" s="97"/>
      <c r="I356" s="4"/>
    </row>
    <row r="357" ht="15.75" customHeight="1">
      <c r="C357" s="95"/>
      <c r="F357" s="96"/>
      <c r="G357" s="97"/>
      <c r="I357" s="4"/>
    </row>
    <row r="358" ht="15.75" customHeight="1">
      <c r="C358" s="95"/>
      <c r="F358" s="96"/>
      <c r="G358" s="97"/>
      <c r="I358" s="4"/>
    </row>
    <row r="359" ht="15.75" customHeight="1">
      <c r="C359" s="95"/>
      <c r="F359" s="96"/>
      <c r="G359" s="97"/>
      <c r="I359" s="4"/>
    </row>
    <row r="360" ht="15.75" customHeight="1">
      <c r="C360" s="95"/>
      <c r="F360" s="96"/>
      <c r="G360" s="97"/>
      <c r="I360" s="4"/>
    </row>
    <row r="361" ht="15.75" customHeight="1">
      <c r="C361" s="95"/>
      <c r="F361" s="96"/>
      <c r="G361" s="97"/>
      <c r="I361" s="4"/>
    </row>
    <row r="362" ht="15.75" customHeight="1">
      <c r="C362" s="95"/>
      <c r="F362" s="96"/>
      <c r="G362" s="97"/>
      <c r="I362" s="4"/>
    </row>
    <row r="363" ht="15.75" customHeight="1">
      <c r="C363" s="95"/>
      <c r="F363" s="96"/>
      <c r="G363" s="97"/>
      <c r="I363" s="4"/>
    </row>
    <row r="364" ht="15.75" customHeight="1">
      <c r="C364" s="95"/>
      <c r="F364" s="96"/>
      <c r="G364" s="97"/>
      <c r="I364" s="4"/>
    </row>
    <row r="365" ht="15.75" customHeight="1">
      <c r="C365" s="95"/>
      <c r="F365" s="96"/>
      <c r="G365" s="97"/>
      <c r="I365" s="4"/>
    </row>
    <row r="366" ht="15.75" customHeight="1">
      <c r="C366" s="95"/>
      <c r="F366" s="96"/>
      <c r="G366" s="97"/>
      <c r="I366" s="4"/>
    </row>
    <row r="367" ht="15.75" customHeight="1">
      <c r="C367" s="95"/>
      <c r="F367" s="96"/>
      <c r="G367" s="97"/>
      <c r="I367" s="4"/>
    </row>
    <row r="368" ht="15.75" customHeight="1">
      <c r="C368" s="95"/>
      <c r="F368" s="96"/>
      <c r="G368" s="97"/>
      <c r="I368" s="4"/>
    </row>
    <row r="369" ht="15.75" customHeight="1">
      <c r="C369" s="95"/>
      <c r="F369" s="96"/>
      <c r="G369" s="97"/>
      <c r="I369" s="4"/>
    </row>
    <row r="370" ht="15.75" customHeight="1">
      <c r="C370" s="95"/>
      <c r="F370" s="96"/>
      <c r="G370" s="97"/>
      <c r="I370" s="4"/>
    </row>
    <row r="371" ht="15.75" customHeight="1">
      <c r="C371" s="95"/>
      <c r="F371" s="96"/>
      <c r="G371" s="97"/>
      <c r="I371" s="4"/>
    </row>
    <row r="372" ht="15.75" customHeight="1">
      <c r="C372" s="95"/>
      <c r="F372" s="96"/>
      <c r="G372" s="97"/>
      <c r="I372" s="4"/>
    </row>
    <row r="373" ht="15.75" customHeight="1">
      <c r="C373" s="95"/>
      <c r="F373" s="96"/>
      <c r="G373" s="97"/>
      <c r="I373" s="4"/>
    </row>
    <row r="374" ht="15.75" customHeight="1">
      <c r="C374" s="95"/>
      <c r="F374" s="96"/>
      <c r="G374" s="97"/>
      <c r="I374" s="4"/>
    </row>
    <row r="375" ht="15.75" customHeight="1">
      <c r="C375" s="95"/>
      <c r="F375" s="96"/>
      <c r="G375" s="97"/>
      <c r="I375" s="4"/>
    </row>
    <row r="376" ht="15.75" customHeight="1">
      <c r="C376" s="95"/>
      <c r="F376" s="96"/>
      <c r="G376" s="97"/>
      <c r="I376" s="4"/>
    </row>
    <row r="377" ht="15.75" customHeight="1">
      <c r="C377" s="95"/>
      <c r="F377" s="96"/>
      <c r="G377" s="97"/>
      <c r="I377" s="4"/>
    </row>
    <row r="378" ht="15.75" customHeight="1">
      <c r="C378" s="95"/>
      <c r="F378" s="96"/>
      <c r="G378" s="97"/>
      <c r="I378" s="4"/>
    </row>
    <row r="379" ht="15.75" customHeight="1">
      <c r="C379" s="95"/>
      <c r="F379" s="96"/>
      <c r="G379" s="97"/>
      <c r="I379" s="4"/>
    </row>
    <row r="380" ht="15.75" customHeight="1">
      <c r="C380" s="95"/>
      <c r="F380" s="96"/>
      <c r="G380" s="97"/>
      <c r="I380" s="4"/>
    </row>
    <row r="381" ht="15.75" customHeight="1">
      <c r="C381" s="95"/>
      <c r="F381" s="96"/>
      <c r="G381" s="97"/>
      <c r="I381" s="4"/>
    </row>
    <row r="382" ht="15.75" customHeight="1">
      <c r="C382" s="95"/>
      <c r="F382" s="96"/>
      <c r="G382" s="97"/>
      <c r="I382" s="4"/>
    </row>
    <row r="383" ht="15.75" customHeight="1">
      <c r="C383" s="95"/>
      <c r="F383" s="96"/>
      <c r="G383" s="97"/>
      <c r="I383" s="4"/>
    </row>
    <row r="384" ht="15.75" customHeight="1">
      <c r="C384" s="95"/>
      <c r="F384" s="96"/>
      <c r="G384" s="97"/>
      <c r="I384" s="4"/>
    </row>
    <row r="385" ht="15.75" customHeight="1">
      <c r="C385" s="95"/>
      <c r="F385" s="96"/>
      <c r="G385" s="97"/>
      <c r="I385" s="4"/>
    </row>
    <row r="386" ht="15.75" customHeight="1">
      <c r="C386" s="95"/>
      <c r="F386" s="96"/>
      <c r="G386" s="97"/>
      <c r="I386" s="4"/>
    </row>
    <row r="387" ht="15.75" customHeight="1">
      <c r="C387" s="95"/>
      <c r="F387" s="96"/>
      <c r="G387" s="97"/>
      <c r="I387" s="4"/>
    </row>
    <row r="388" ht="15.75" customHeight="1">
      <c r="C388" s="95"/>
      <c r="F388" s="96"/>
      <c r="G388" s="97"/>
      <c r="I388" s="4"/>
    </row>
    <row r="389" ht="15.75" customHeight="1">
      <c r="C389" s="95"/>
      <c r="F389" s="96"/>
      <c r="G389" s="97"/>
      <c r="I389" s="4"/>
    </row>
    <row r="390" ht="15.75" customHeight="1">
      <c r="C390" s="95"/>
      <c r="F390" s="96"/>
      <c r="G390" s="97"/>
      <c r="I390" s="4"/>
    </row>
    <row r="391" ht="15.75" customHeight="1">
      <c r="C391" s="95"/>
      <c r="F391" s="96"/>
      <c r="G391" s="97"/>
      <c r="I391" s="4"/>
    </row>
    <row r="392" ht="15.75" customHeight="1">
      <c r="C392" s="95"/>
      <c r="F392" s="96"/>
      <c r="G392" s="97"/>
      <c r="I392" s="4"/>
    </row>
    <row r="393" ht="15.75" customHeight="1">
      <c r="C393" s="95"/>
      <c r="F393" s="96"/>
      <c r="G393" s="97"/>
      <c r="I393" s="4"/>
    </row>
    <row r="394" ht="15.75" customHeight="1">
      <c r="C394" s="95"/>
      <c r="F394" s="96"/>
      <c r="G394" s="97"/>
      <c r="I394" s="4"/>
    </row>
    <row r="395" ht="15.75" customHeight="1">
      <c r="C395" s="95"/>
      <c r="F395" s="96"/>
      <c r="G395" s="97"/>
      <c r="I395" s="4"/>
    </row>
    <row r="396" ht="15.75" customHeight="1">
      <c r="C396" s="95"/>
      <c r="F396" s="96"/>
      <c r="G396" s="97"/>
      <c r="I396" s="4"/>
    </row>
    <row r="397" ht="15.75" customHeight="1">
      <c r="C397" s="95"/>
      <c r="F397" s="96"/>
      <c r="G397" s="97"/>
      <c r="I397" s="4"/>
    </row>
    <row r="398" ht="15.75" customHeight="1">
      <c r="C398" s="95"/>
      <c r="F398" s="96"/>
      <c r="G398" s="97"/>
      <c r="I398" s="4"/>
    </row>
    <row r="399" ht="15.75" customHeight="1">
      <c r="C399" s="95"/>
      <c r="F399" s="96"/>
      <c r="G399" s="97"/>
      <c r="I399" s="4"/>
    </row>
    <row r="400" ht="15.75" customHeight="1">
      <c r="C400" s="95"/>
      <c r="F400" s="96"/>
      <c r="G400" s="97"/>
      <c r="I400" s="4"/>
    </row>
    <row r="401" ht="15.75" customHeight="1">
      <c r="C401" s="95"/>
      <c r="F401" s="96"/>
      <c r="G401" s="97"/>
      <c r="I401" s="4"/>
    </row>
    <row r="402" ht="15.75" customHeight="1">
      <c r="C402" s="95"/>
      <c r="F402" s="96"/>
      <c r="G402" s="97"/>
      <c r="I402" s="4"/>
    </row>
    <row r="403" ht="15.75" customHeight="1">
      <c r="C403" s="95"/>
      <c r="F403" s="96"/>
      <c r="G403" s="97"/>
      <c r="I403" s="4"/>
    </row>
    <row r="404" ht="15.75" customHeight="1">
      <c r="C404" s="95"/>
      <c r="F404" s="96"/>
      <c r="G404" s="97"/>
      <c r="I404" s="4"/>
    </row>
    <row r="405" ht="15.75" customHeight="1">
      <c r="C405" s="95"/>
      <c r="F405" s="96"/>
      <c r="G405" s="97"/>
      <c r="I405" s="4"/>
    </row>
    <row r="406" ht="15.75" customHeight="1">
      <c r="C406" s="95"/>
      <c r="F406" s="96"/>
      <c r="G406" s="97"/>
      <c r="I406" s="4"/>
    </row>
    <row r="407" ht="15.75" customHeight="1">
      <c r="C407" s="95"/>
      <c r="F407" s="96"/>
      <c r="G407" s="97"/>
      <c r="I407" s="4"/>
    </row>
    <row r="408" ht="15.75" customHeight="1">
      <c r="C408" s="95"/>
      <c r="F408" s="96"/>
      <c r="G408" s="97"/>
      <c r="I408" s="4"/>
    </row>
    <row r="409" ht="15.75" customHeight="1">
      <c r="C409" s="95"/>
      <c r="F409" s="96"/>
      <c r="G409" s="97"/>
      <c r="I409" s="4"/>
    </row>
    <row r="410" ht="15.75" customHeight="1">
      <c r="C410" s="95"/>
      <c r="F410" s="96"/>
      <c r="G410" s="97"/>
      <c r="I410" s="4"/>
    </row>
    <row r="411" ht="15.75" customHeight="1">
      <c r="C411" s="95"/>
      <c r="F411" s="96"/>
      <c r="G411" s="97"/>
      <c r="I411" s="4"/>
    </row>
    <row r="412" ht="15.75" customHeight="1">
      <c r="C412" s="95"/>
      <c r="F412" s="96"/>
      <c r="G412" s="97"/>
      <c r="I412" s="4"/>
    </row>
    <row r="413" ht="15.75" customHeight="1">
      <c r="C413" s="95"/>
      <c r="F413" s="96"/>
      <c r="G413" s="97"/>
      <c r="I413" s="4"/>
    </row>
    <row r="414" ht="15.75" customHeight="1">
      <c r="C414" s="95"/>
      <c r="F414" s="96"/>
      <c r="G414" s="97"/>
      <c r="I414" s="4"/>
    </row>
    <row r="415" ht="15.75" customHeight="1">
      <c r="C415" s="95"/>
      <c r="F415" s="96"/>
      <c r="G415" s="97"/>
      <c r="I415" s="4"/>
    </row>
    <row r="416" ht="15.75" customHeight="1">
      <c r="C416" s="95"/>
      <c r="F416" s="96"/>
      <c r="G416" s="97"/>
      <c r="I416" s="4"/>
    </row>
    <row r="417" ht="15.75" customHeight="1">
      <c r="C417" s="95"/>
      <c r="F417" s="96"/>
      <c r="G417" s="97"/>
      <c r="I417" s="4"/>
    </row>
    <row r="418" ht="15.75" customHeight="1">
      <c r="C418" s="95"/>
      <c r="F418" s="96"/>
      <c r="G418" s="97"/>
      <c r="I418" s="4"/>
    </row>
    <row r="419" ht="15.75" customHeight="1">
      <c r="C419" s="95"/>
      <c r="F419" s="96"/>
      <c r="G419" s="97"/>
      <c r="I419" s="4"/>
    </row>
    <row r="420" ht="15.75" customHeight="1">
      <c r="C420" s="95"/>
      <c r="F420" s="96"/>
      <c r="G420" s="97"/>
      <c r="I420" s="4"/>
    </row>
    <row r="421" ht="15.75" customHeight="1">
      <c r="C421" s="95"/>
      <c r="F421" s="96"/>
      <c r="G421" s="97"/>
      <c r="I421" s="4"/>
    </row>
    <row r="422" ht="15.75" customHeight="1">
      <c r="C422" s="95"/>
      <c r="F422" s="96"/>
      <c r="G422" s="97"/>
      <c r="I422" s="4"/>
    </row>
    <row r="423" ht="15.75" customHeight="1">
      <c r="C423" s="95"/>
      <c r="F423" s="96"/>
      <c r="G423" s="97"/>
      <c r="I423" s="4"/>
    </row>
    <row r="424" ht="15.75" customHeight="1">
      <c r="C424" s="95"/>
      <c r="F424" s="96"/>
      <c r="G424" s="97"/>
      <c r="I424" s="4"/>
    </row>
    <row r="425" ht="15.75" customHeight="1">
      <c r="C425" s="95"/>
      <c r="F425" s="96"/>
      <c r="G425" s="97"/>
      <c r="I425" s="4"/>
    </row>
    <row r="426" ht="15.75" customHeight="1">
      <c r="C426" s="95"/>
      <c r="F426" s="96"/>
      <c r="G426" s="97"/>
      <c r="I426" s="4"/>
    </row>
    <row r="427" ht="15.75" customHeight="1">
      <c r="C427" s="95"/>
      <c r="F427" s="96"/>
      <c r="G427" s="97"/>
      <c r="I427" s="4"/>
    </row>
    <row r="428" ht="15.75" customHeight="1">
      <c r="C428" s="95"/>
      <c r="F428" s="96"/>
      <c r="G428" s="97"/>
      <c r="I428" s="4"/>
    </row>
    <row r="429" ht="15.75" customHeight="1">
      <c r="C429" s="95"/>
      <c r="F429" s="96"/>
      <c r="G429" s="97"/>
      <c r="I429" s="4"/>
    </row>
    <row r="430" ht="15.75" customHeight="1">
      <c r="C430" s="95"/>
      <c r="F430" s="96"/>
      <c r="G430" s="97"/>
      <c r="I430" s="4"/>
    </row>
    <row r="431" ht="15.75" customHeight="1">
      <c r="C431" s="95"/>
      <c r="F431" s="96"/>
      <c r="G431" s="97"/>
      <c r="I431" s="4"/>
    </row>
    <row r="432" ht="15.75" customHeight="1">
      <c r="C432" s="95"/>
      <c r="F432" s="96"/>
      <c r="G432" s="97"/>
      <c r="I432" s="4"/>
    </row>
    <row r="433" ht="15.75" customHeight="1">
      <c r="C433" s="95"/>
      <c r="F433" s="96"/>
      <c r="G433" s="97"/>
      <c r="I433" s="4"/>
    </row>
    <row r="434" ht="15.75" customHeight="1">
      <c r="C434" s="95"/>
      <c r="F434" s="96"/>
      <c r="G434" s="97"/>
      <c r="I434" s="4"/>
    </row>
    <row r="435" ht="15.75" customHeight="1">
      <c r="C435" s="95"/>
      <c r="F435" s="96"/>
      <c r="G435" s="97"/>
      <c r="I435" s="4"/>
    </row>
    <row r="436" ht="15.75" customHeight="1">
      <c r="C436" s="95"/>
      <c r="F436" s="96"/>
      <c r="G436" s="97"/>
      <c r="I436" s="4"/>
    </row>
    <row r="437" ht="15.75" customHeight="1">
      <c r="C437" s="95"/>
      <c r="F437" s="96"/>
      <c r="G437" s="97"/>
      <c r="I437" s="4"/>
    </row>
    <row r="438" ht="15.75" customHeight="1">
      <c r="C438" s="95"/>
      <c r="F438" s="96"/>
      <c r="G438" s="97"/>
      <c r="I438" s="4"/>
    </row>
    <row r="439" ht="15.75" customHeight="1">
      <c r="C439" s="95"/>
      <c r="F439" s="96"/>
      <c r="G439" s="97"/>
      <c r="I439" s="4"/>
    </row>
    <row r="440" ht="15.75" customHeight="1">
      <c r="C440" s="95"/>
      <c r="F440" s="96"/>
      <c r="G440" s="97"/>
      <c r="I440" s="4"/>
    </row>
    <row r="441" ht="15.75" customHeight="1">
      <c r="C441" s="95"/>
      <c r="F441" s="96"/>
      <c r="G441" s="97"/>
      <c r="I441" s="4"/>
    </row>
    <row r="442" ht="15.75" customHeight="1">
      <c r="C442" s="95"/>
      <c r="F442" s="96"/>
      <c r="G442" s="97"/>
      <c r="I442" s="4"/>
    </row>
    <row r="443" ht="15.75" customHeight="1">
      <c r="C443" s="95"/>
      <c r="F443" s="96"/>
      <c r="G443" s="97"/>
      <c r="I443" s="4"/>
    </row>
    <row r="444" ht="15.75" customHeight="1">
      <c r="C444" s="95"/>
      <c r="F444" s="96"/>
      <c r="G444" s="97"/>
      <c r="I444" s="4"/>
    </row>
    <row r="445" ht="15.75" customHeight="1">
      <c r="C445" s="95"/>
      <c r="F445" s="96"/>
      <c r="G445" s="97"/>
      <c r="I445" s="4"/>
    </row>
    <row r="446" ht="15.75" customHeight="1">
      <c r="C446" s="95"/>
      <c r="F446" s="96"/>
      <c r="G446" s="97"/>
      <c r="I446" s="4"/>
    </row>
    <row r="447" ht="15.75" customHeight="1">
      <c r="C447" s="95"/>
      <c r="F447" s="96"/>
      <c r="G447" s="97"/>
      <c r="I447" s="4"/>
    </row>
    <row r="448" ht="15.75" customHeight="1">
      <c r="C448" s="95"/>
      <c r="F448" s="96"/>
      <c r="G448" s="97"/>
      <c r="I448" s="4"/>
    </row>
    <row r="449" ht="15.75" customHeight="1">
      <c r="C449" s="95"/>
      <c r="F449" s="96"/>
      <c r="G449" s="97"/>
      <c r="I449" s="4"/>
    </row>
    <row r="450" ht="15.75" customHeight="1">
      <c r="C450" s="95"/>
      <c r="F450" s="96"/>
      <c r="G450" s="97"/>
      <c r="I450" s="4"/>
    </row>
    <row r="451" ht="15.75" customHeight="1">
      <c r="C451" s="95"/>
      <c r="F451" s="96"/>
      <c r="G451" s="97"/>
      <c r="I451" s="4"/>
    </row>
    <row r="452" ht="15.75" customHeight="1">
      <c r="C452" s="95"/>
      <c r="F452" s="96"/>
      <c r="G452" s="97"/>
      <c r="I452" s="4"/>
    </row>
    <row r="453" ht="15.75" customHeight="1">
      <c r="C453" s="95"/>
      <c r="F453" s="96"/>
      <c r="G453" s="97"/>
      <c r="I453" s="4"/>
    </row>
    <row r="454" ht="15.75" customHeight="1">
      <c r="C454" s="95"/>
      <c r="F454" s="96"/>
      <c r="G454" s="97"/>
      <c r="I454" s="4"/>
    </row>
    <row r="455" ht="15.75" customHeight="1">
      <c r="C455" s="95"/>
      <c r="F455" s="96"/>
      <c r="G455" s="97"/>
      <c r="I455" s="4"/>
    </row>
    <row r="456" ht="15.75" customHeight="1">
      <c r="C456" s="95"/>
      <c r="F456" s="96"/>
      <c r="G456" s="97"/>
      <c r="I456" s="4"/>
    </row>
    <row r="457" ht="15.75" customHeight="1">
      <c r="C457" s="95"/>
      <c r="F457" s="96"/>
      <c r="G457" s="97"/>
      <c r="I457" s="4"/>
    </row>
    <row r="458" ht="15.75" customHeight="1">
      <c r="C458" s="95"/>
      <c r="F458" s="96"/>
      <c r="G458" s="97"/>
      <c r="I458" s="4"/>
    </row>
    <row r="459" ht="15.75" customHeight="1">
      <c r="C459" s="95"/>
      <c r="F459" s="96"/>
      <c r="G459" s="97"/>
      <c r="I459" s="4"/>
    </row>
    <row r="460" ht="15.75" customHeight="1">
      <c r="C460" s="95"/>
      <c r="F460" s="96"/>
      <c r="G460" s="97"/>
      <c r="I460" s="4"/>
    </row>
    <row r="461" ht="15.75" customHeight="1">
      <c r="C461" s="95"/>
      <c r="F461" s="96"/>
      <c r="G461" s="97"/>
      <c r="I461" s="4"/>
    </row>
    <row r="462" ht="15.75" customHeight="1">
      <c r="C462" s="95"/>
      <c r="F462" s="96"/>
      <c r="G462" s="97"/>
      <c r="I462" s="4"/>
    </row>
    <row r="463" ht="15.75" customHeight="1">
      <c r="C463" s="95"/>
      <c r="F463" s="96"/>
      <c r="G463" s="97"/>
      <c r="I463" s="4"/>
    </row>
    <row r="464" ht="15.75" customHeight="1">
      <c r="C464" s="95"/>
      <c r="F464" s="96"/>
      <c r="G464" s="97"/>
      <c r="I464" s="4"/>
    </row>
    <row r="465" ht="15.75" customHeight="1">
      <c r="C465" s="95"/>
      <c r="F465" s="96"/>
      <c r="G465" s="97"/>
      <c r="I465" s="4"/>
    </row>
    <row r="466" ht="15.75" customHeight="1">
      <c r="C466" s="95"/>
      <c r="F466" s="96"/>
      <c r="G466" s="97"/>
      <c r="I466" s="4"/>
    </row>
    <row r="467" ht="15.75" customHeight="1">
      <c r="C467" s="95"/>
      <c r="F467" s="96"/>
      <c r="G467" s="97"/>
      <c r="I467" s="4"/>
    </row>
    <row r="468" ht="15.75" customHeight="1">
      <c r="C468" s="95"/>
      <c r="F468" s="96"/>
      <c r="G468" s="97"/>
      <c r="I468" s="4"/>
    </row>
    <row r="469" ht="15.75" customHeight="1">
      <c r="C469" s="95"/>
      <c r="F469" s="96"/>
      <c r="G469" s="97"/>
      <c r="I469" s="4"/>
    </row>
    <row r="470" ht="15.75" customHeight="1">
      <c r="C470" s="95"/>
      <c r="F470" s="96"/>
      <c r="G470" s="97"/>
      <c r="I470" s="4"/>
    </row>
    <row r="471" ht="15.75" customHeight="1">
      <c r="C471" s="95"/>
      <c r="F471" s="96"/>
      <c r="G471" s="97"/>
      <c r="I471" s="4"/>
    </row>
    <row r="472" ht="15.75" customHeight="1">
      <c r="C472" s="95"/>
      <c r="F472" s="96"/>
      <c r="G472" s="97"/>
      <c r="I472" s="4"/>
    </row>
    <row r="473" ht="15.75" customHeight="1">
      <c r="C473" s="95"/>
      <c r="F473" s="96"/>
      <c r="G473" s="97"/>
      <c r="I473" s="4"/>
    </row>
    <row r="474" ht="15.75" customHeight="1">
      <c r="C474" s="95"/>
      <c r="F474" s="96"/>
      <c r="G474" s="97"/>
      <c r="I474" s="4"/>
    </row>
    <row r="475" ht="15.75" customHeight="1">
      <c r="C475" s="95"/>
      <c r="F475" s="96"/>
      <c r="G475" s="97"/>
      <c r="I475" s="4"/>
    </row>
    <row r="476" ht="15.75" customHeight="1">
      <c r="C476" s="95"/>
      <c r="F476" s="96"/>
      <c r="G476" s="97"/>
      <c r="I476" s="4"/>
    </row>
    <row r="477" ht="15.75" customHeight="1">
      <c r="C477" s="95"/>
      <c r="F477" s="96"/>
      <c r="G477" s="97"/>
      <c r="I477" s="4"/>
    </row>
    <row r="478" ht="15.75" customHeight="1">
      <c r="C478" s="95"/>
      <c r="F478" s="96"/>
      <c r="G478" s="97"/>
      <c r="I478" s="4"/>
    </row>
    <row r="479" ht="15.75" customHeight="1">
      <c r="C479" s="95"/>
      <c r="F479" s="96"/>
      <c r="G479" s="97"/>
      <c r="I479" s="4"/>
    </row>
    <row r="480" ht="15.75" customHeight="1">
      <c r="C480" s="95"/>
      <c r="F480" s="96"/>
      <c r="G480" s="97"/>
      <c r="I480" s="4"/>
    </row>
    <row r="481" ht="15.75" customHeight="1">
      <c r="C481" s="95"/>
      <c r="F481" s="96"/>
      <c r="G481" s="97"/>
      <c r="I481" s="4"/>
    </row>
    <row r="482" ht="15.75" customHeight="1">
      <c r="C482" s="95"/>
      <c r="F482" s="96"/>
      <c r="G482" s="97"/>
      <c r="I482" s="4"/>
    </row>
    <row r="483" ht="15.75" customHeight="1">
      <c r="C483" s="95"/>
      <c r="F483" s="96"/>
      <c r="G483" s="97"/>
      <c r="I483" s="4"/>
    </row>
    <row r="484" ht="15.75" customHeight="1">
      <c r="C484" s="95"/>
      <c r="F484" s="96"/>
      <c r="G484" s="97"/>
      <c r="I484" s="4"/>
    </row>
    <row r="485" ht="15.75" customHeight="1">
      <c r="C485" s="95"/>
      <c r="F485" s="96"/>
      <c r="G485" s="97"/>
      <c r="I485" s="4"/>
    </row>
    <row r="486" ht="15.75" customHeight="1">
      <c r="C486" s="95"/>
      <c r="F486" s="96"/>
      <c r="G486" s="97"/>
      <c r="I486" s="4"/>
    </row>
    <row r="487" ht="15.75" customHeight="1">
      <c r="C487" s="95"/>
      <c r="F487" s="96"/>
      <c r="G487" s="97"/>
      <c r="I487" s="4"/>
    </row>
    <row r="488" ht="15.75" customHeight="1">
      <c r="C488" s="95"/>
      <c r="F488" s="96"/>
      <c r="G488" s="97"/>
      <c r="I488" s="4"/>
    </row>
    <row r="489" ht="15.75" customHeight="1">
      <c r="C489" s="95"/>
      <c r="F489" s="96"/>
      <c r="G489" s="97"/>
      <c r="I489" s="4"/>
    </row>
    <row r="490" ht="15.75" customHeight="1">
      <c r="C490" s="95"/>
      <c r="F490" s="96"/>
      <c r="G490" s="97"/>
      <c r="I490" s="4"/>
    </row>
    <row r="491" ht="15.75" customHeight="1">
      <c r="C491" s="95"/>
      <c r="F491" s="96"/>
      <c r="G491" s="97"/>
      <c r="I491" s="4"/>
    </row>
    <row r="492" ht="15.75" customHeight="1">
      <c r="C492" s="95"/>
      <c r="F492" s="96"/>
      <c r="G492" s="97"/>
      <c r="I492" s="4"/>
    </row>
    <row r="493" ht="15.75" customHeight="1">
      <c r="C493" s="95"/>
      <c r="F493" s="96"/>
      <c r="G493" s="97"/>
      <c r="I493" s="4"/>
    </row>
    <row r="494" ht="15.75" customHeight="1">
      <c r="C494" s="95"/>
      <c r="F494" s="96"/>
      <c r="G494" s="97"/>
      <c r="I494" s="4"/>
    </row>
    <row r="495" ht="15.75" customHeight="1">
      <c r="C495" s="95"/>
      <c r="F495" s="96"/>
      <c r="G495" s="97"/>
      <c r="I495" s="4"/>
    </row>
    <row r="496" ht="15.75" customHeight="1">
      <c r="C496" s="95"/>
      <c r="F496" s="96"/>
      <c r="G496" s="97"/>
      <c r="I496" s="4"/>
    </row>
    <row r="497" ht="15.75" customHeight="1">
      <c r="C497" s="95"/>
      <c r="F497" s="96"/>
      <c r="G497" s="97"/>
      <c r="I497" s="4"/>
    </row>
    <row r="498" ht="15.75" customHeight="1">
      <c r="C498" s="95"/>
      <c r="F498" s="96"/>
      <c r="G498" s="97"/>
      <c r="I498" s="4"/>
    </row>
    <row r="499" ht="15.75" customHeight="1">
      <c r="C499" s="95"/>
      <c r="F499" s="96"/>
      <c r="G499" s="97"/>
      <c r="I499" s="4"/>
    </row>
    <row r="500" ht="15.75" customHeight="1">
      <c r="C500" s="95"/>
      <c r="F500" s="96"/>
      <c r="G500" s="97"/>
      <c r="I500" s="4"/>
    </row>
    <row r="501" ht="15.75" customHeight="1">
      <c r="C501" s="95"/>
      <c r="F501" s="96"/>
      <c r="G501" s="97"/>
      <c r="I501" s="4"/>
    </row>
    <row r="502" ht="15.75" customHeight="1">
      <c r="C502" s="95"/>
      <c r="F502" s="96"/>
      <c r="G502" s="97"/>
      <c r="I502" s="4"/>
    </row>
    <row r="503" ht="15.75" customHeight="1">
      <c r="C503" s="95"/>
      <c r="F503" s="96"/>
      <c r="G503" s="97"/>
      <c r="I503" s="4"/>
    </row>
    <row r="504" ht="15.75" customHeight="1">
      <c r="C504" s="95"/>
      <c r="F504" s="96"/>
      <c r="G504" s="97"/>
      <c r="I504" s="4"/>
    </row>
    <row r="505" ht="15.75" customHeight="1">
      <c r="C505" s="95"/>
      <c r="F505" s="96"/>
      <c r="G505" s="97"/>
      <c r="I505" s="4"/>
    </row>
    <row r="506" ht="15.75" customHeight="1">
      <c r="C506" s="95"/>
      <c r="F506" s="96"/>
      <c r="G506" s="97"/>
      <c r="I506" s="4"/>
    </row>
    <row r="507" ht="15.75" customHeight="1">
      <c r="C507" s="95"/>
      <c r="F507" s="96"/>
      <c r="G507" s="97"/>
      <c r="I507" s="4"/>
    </row>
    <row r="508" ht="15.75" customHeight="1">
      <c r="C508" s="95"/>
      <c r="F508" s="96"/>
      <c r="G508" s="97"/>
      <c r="I508" s="4"/>
    </row>
    <row r="509" ht="15.75" customHeight="1">
      <c r="C509" s="95"/>
      <c r="F509" s="96"/>
      <c r="G509" s="97"/>
      <c r="I509" s="4"/>
    </row>
    <row r="510" ht="15.75" customHeight="1">
      <c r="C510" s="95"/>
      <c r="F510" s="96"/>
      <c r="G510" s="97"/>
      <c r="I510" s="4"/>
    </row>
    <row r="511" ht="15.75" customHeight="1">
      <c r="C511" s="95"/>
      <c r="F511" s="96"/>
      <c r="G511" s="97"/>
      <c r="I511" s="4"/>
    </row>
    <row r="512" ht="15.75" customHeight="1">
      <c r="C512" s="95"/>
      <c r="F512" s="96"/>
      <c r="G512" s="97"/>
      <c r="I512" s="4"/>
    </row>
    <row r="513" ht="15.75" customHeight="1">
      <c r="C513" s="95"/>
      <c r="F513" s="96"/>
      <c r="G513" s="97"/>
      <c r="I513" s="4"/>
    </row>
    <row r="514" ht="15.75" customHeight="1">
      <c r="C514" s="95"/>
      <c r="F514" s="96"/>
      <c r="G514" s="97"/>
      <c r="I514" s="4"/>
    </row>
    <row r="515" ht="15.75" customHeight="1">
      <c r="C515" s="95"/>
      <c r="F515" s="96"/>
      <c r="G515" s="97"/>
      <c r="I515" s="4"/>
    </row>
    <row r="516" ht="15.75" customHeight="1">
      <c r="C516" s="95"/>
      <c r="F516" s="96"/>
      <c r="G516" s="97"/>
      <c r="I516" s="4"/>
    </row>
    <row r="517" ht="15.75" customHeight="1">
      <c r="C517" s="95"/>
      <c r="F517" s="96"/>
      <c r="G517" s="97"/>
      <c r="I517" s="4"/>
    </row>
    <row r="518" ht="15.75" customHeight="1">
      <c r="C518" s="95"/>
      <c r="F518" s="96"/>
      <c r="G518" s="97"/>
      <c r="I518" s="4"/>
    </row>
    <row r="519" ht="15.75" customHeight="1">
      <c r="C519" s="95"/>
      <c r="F519" s="96"/>
      <c r="G519" s="97"/>
      <c r="I519" s="4"/>
    </row>
    <row r="520" ht="15.75" customHeight="1">
      <c r="C520" s="95"/>
      <c r="F520" s="96"/>
      <c r="G520" s="97"/>
      <c r="I520" s="4"/>
    </row>
    <row r="521" ht="15.75" customHeight="1">
      <c r="C521" s="95"/>
      <c r="F521" s="96"/>
      <c r="G521" s="97"/>
      <c r="I521" s="4"/>
    </row>
    <row r="522" ht="15.75" customHeight="1">
      <c r="C522" s="95"/>
      <c r="F522" s="96"/>
      <c r="G522" s="97"/>
      <c r="I522" s="4"/>
    </row>
    <row r="523" ht="15.75" customHeight="1">
      <c r="C523" s="95"/>
      <c r="F523" s="96"/>
      <c r="G523" s="97"/>
      <c r="I523" s="4"/>
    </row>
    <row r="524" ht="15.75" customHeight="1">
      <c r="C524" s="95"/>
      <c r="F524" s="96"/>
      <c r="G524" s="97"/>
      <c r="I524" s="4"/>
    </row>
    <row r="525" ht="15.75" customHeight="1">
      <c r="C525" s="95"/>
      <c r="F525" s="96"/>
      <c r="G525" s="97"/>
      <c r="I525" s="4"/>
    </row>
    <row r="526" ht="15.75" customHeight="1">
      <c r="C526" s="95"/>
      <c r="F526" s="96"/>
      <c r="G526" s="97"/>
      <c r="I526" s="4"/>
    </row>
    <row r="527" ht="15.75" customHeight="1">
      <c r="C527" s="95"/>
      <c r="F527" s="96"/>
      <c r="G527" s="97"/>
      <c r="I527" s="4"/>
    </row>
    <row r="528" ht="15.75" customHeight="1">
      <c r="C528" s="95"/>
      <c r="F528" s="96"/>
      <c r="G528" s="97"/>
      <c r="I528" s="4"/>
    </row>
    <row r="529" ht="15.75" customHeight="1">
      <c r="C529" s="95"/>
      <c r="F529" s="96"/>
      <c r="G529" s="97"/>
      <c r="I529" s="4"/>
    </row>
    <row r="530" ht="15.75" customHeight="1">
      <c r="C530" s="95"/>
      <c r="F530" s="96"/>
      <c r="G530" s="97"/>
      <c r="I530" s="4"/>
    </row>
    <row r="531" ht="15.75" customHeight="1">
      <c r="C531" s="95"/>
      <c r="F531" s="96"/>
      <c r="G531" s="97"/>
      <c r="I531" s="4"/>
    </row>
    <row r="532" ht="15.75" customHeight="1">
      <c r="C532" s="95"/>
      <c r="F532" s="96"/>
      <c r="G532" s="97"/>
      <c r="I532" s="4"/>
    </row>
    <row r="533" ht="15.75" customHeight="1">
      <c r="C533" s="95"/>
      <c r="F533" s="96"/>
      <c r="G533" s="97"/>
      <c r="I533" s="4"/>
    </row>
    <row r="534" ht="15.75" customHeight="1">
      <c r="C534" s="95"/>
      <c r="F534" s="96"/>
      <c r="G534" s="97"/>
      <c r="I534" s="4"/>
    </row>
    <row r="535" ht="15.75" customHeight="1">
      <c r="C535" s="95"/>
      <c r="F535" s="96"/>
      <c r="G535" s="97"/>
      <c r="I535" s="4"/>
    </row>
    <row r="536" ht="15.75" customHeight="1">
      <c r="C536" s="95"/>
      <c r="F536" s="96"/>
      <c r="G536" s="97"/>
      <c r="I536" s="4"/>
    </row>
    <row r="537" ht="15.75" customHeight="1">
      <c r="C537" s="95"/>
      <c r="F537" s="96"/>
      <c r="G537" s="97"/>
      <c r="I537" s="4"/>
    </row>
    <row r="538" ht="15.75" customHeight="1">
      <c r="C538" s="95"/>
      <c r="F538" s="96"/>
      <c r="G538" s="97"/>
      <c r="I538" s="4"/>
    </row>
    <row r="539" ht="15.75" customHeight="1">
      <c r="C539" s="95"/>
      <c r="F539" s="96"/>
      <c r="G539" s="97"/>
      <c r="I539" s="4"/>
    </row>
    <row r="540" ht="15.75" customHeight="1">
      <c r="C540" s="95"/>
      <c r="F540" s="96"/>
      <c r="G540" s="97"/>
      <c r="I540" s="4"/>
    </row>
    <row r="541" ht="15.75" customHeight="1">
      <c r="C541" s="95"/>
      <c r="F541" s="96"/>
      <c r="G541" s="97"/>
      <c r="I541" s="4"/>
    </row>
    <row r="542" ht="15.75" customHeight="1">
      <c r="C542" s="95"/>
      <c r="F542" s="96"/>
      <c r="G542" s="97"/>
      <c r="I542" s="4"/>
    </row>
    <row r="543" ht="15.75" customHeight="1">
      <c r="C543" s="95"/>
      <c r="F543" s="96"/>
      <c r="G543" s="97"/>
      <c r="I543" s="4"/>
    </row>
    <row r="544" ht="15.75" customHeight="1">
      <c r="C544" s="95"/>
      <c r="F544" s="96"/>
      <c r="G544" s="97"/>
      <c r="I544" s="4"/>
    </row>
    <row r="545" ht="15.75" customHeight="1">
      <c r="C545" s="95"/>
      <c r="F545" s="96"/>
      <c r="G545" s="97"/>
      <c r="I545" s="4"/>
    </row>
    <row r="546" ht="15.75" customHeight="1">
      <c r="C546" s="95"/>
      <c r="F546" s="96"/>
      <c r="G546" s="97"/>
      <c r="I546" s="4"/>
    </row>
    <row r="547" ht="15.75" customHeight="1">
      <c r="C547" s="95"/>
      <c r="F547" s="96"/>
      <c r="G547" s="97"/>
      <c r="I547" s="4"/>
    </row>
    <row r="548" ht="15.75" customHeight="1">
      <c r="C548" s="95"/>
      <c r="F548" s="96"/>
      <c r="G548" s="97"/>
      <c r="I548" s="4"/>
    </row>
    <row r="549" ht="15.75" customHeight="1">
      <c r="C549" s="95"/>
      <c r="F549" s="96"/>
      <c r="G549" s="97"/>
      <c r="I549" s="4"/>
    </row>
    <row r="550" ht="15.75" customHeight="1">
      <c r="C550" s="95"/>
      <c r="F550" s="96"/>
      <c r="G550" s="97"/>
      <c r="I550" s="4"/>
    </row>
    <row r="551" ht="15.75" customHeight="1">
      <c r="C551" s="95"/>
      <c r="F551" s="96"/>
      <c r="G551" s="97"/>
      <c r="I551" s="4"/>
    </row>
    <row r="552" ht="15.75" customHeight="1">
      <c r="C552" s="95"/>
      <c r="F552" s="96"/>
      <c r="G552" s="97"/>
      <c r="I552" s="4"/>
    </row>
    <row r="553" ht="15.75" customHeight="1">
      <c r="C553" s="95"/>
      <c r="F553" s="96"/>
      <c r="G553" s="97"/>
      <c r="I553" s="4"/>
    </row>
    <row r="554" ht="15.75" customHeight="1">
      <c r="C554" s="95"/>
      <c r="F554" s="96"/>
      <c r="G554" s="97"/>
      <c r="I554" s="4"/>
    </row>
    <row r="555" ht="15.75" customHeight="1">
      <c r="C555" s="95"/>
      <c r="F555" s="96"/>
      <c r="G555" s="97"/>
      <c r="I555" s="4"/>
    </row>
    <row r="556" ht="15.75" customHeight="1">
      <c r="C556" s="95"/>
      <c r="F556" s="96"/>
      <c r="G556" s="97"/>
      <c r="I556" s="4"/>
    </row>
    <row r="557" ht="15.75" customHeight="1">
      <c r="C557" s="95"/>
      <c r="F557" s="96"/>
      <c r="G557" s="97"/>
      <c r="I557" s="4"/>
    </row>
    <row r="558" ht="15.75" customHeight="1">
      <c r="C558" s="95"/>
      <c r="F558" s="96"/>
      <c r="G558" s="97"/>
      <c r="I558" s="4"/>
    </row>
    <row r="559" ht="15.75" customHeight="1">
      <c r="C559" s="95"/>
      <c r="F559" s="96"/>
      <c r="G559" s="97"/>
      <c r="I559" s="4"/>
    </row>
    <row r="560" ht="15.75" customHeight="1">
      <c r="C560" s="95"/>
      <c r="F560" s="96"/>
      <c r="G560" s="97"/>
      <c r="I560" s="4"/>
    </row>
    <row r="561" ht="15.75" customHeight="1">
      <c r="C561" s="95"/>
      <c r="F561" s="96"/>
      <c r="G561" s="97"/>
      <c r="I561" s="4"/>
    </row>
    <row r="562" ht="15.75" customHeight="1">
      <c r="C562" s="95"/>
      <c r="F562" s="96"/>
      <c r="G562" s="97"/>
      <c r="I562" s="4"/>
    </row>
    <row r="563" ht="15.75" customHeight="1">
      <c r="C563" s="95"/>
      <c r="F563" s="96"/>
      <c r="G563" s="97"/>
      <c r="I563" s="4"/>
    </row>
    <row r="564" ht="15.75" customHeight="1">
      <c r="C564" s="95"/>
      <c r="F564" s="96"/>
      <c r="G564" s="97"/>
      <c r="I564" s="4"/>
    </row>
    <row r="565" ht="15.75" customHeight="1">
      <c r="C565" s="95"/>
      <c r="F565" s="96"/>
      <c r="G565" s="97"/>
      <c r="I565" s="4"/>
    </row>
    <row r="566" ht="15.75" customHeight="1">
      <c r="C566" s="95"/>
      <c r="F566" s="96"/>
      <c r="G566" s="97"/>
      <c r="I566" s="4"/>
    </row>
    <row r="567" ht="15.75" customHeight="1">
      <c r="C567" s="95"/>
      <c r="F567" s="96"/>
      <c r="G567" s="97"/>
      <c r="I567" s="4"/>
    </row>
    <row r="568" ht="15.75" customHeight="1">
      <c r="C568" s="95"/>
      <c r="F568" s="96"/>
      <c r="G568" s="97"/>
      <c r="I568" s="4"/>
    </row>
    <row r="569" ht="15.75" customHeight="1">
      <c r="C569" s="95"/>
      <c r="F569" s="96"/>
      <c r="G569" s="97"/>
      <c r="I569" s="4"/>
    </row>
    <row r="570" ht="15.75" customHeight="1">
      <c r="C570" s="95"/>
      <c r="F570" s="96"/>
      <c r="G570" s="97"/>
      <c r="I570" s="4"/>
    </row>
    <row r="571" ht="15.75" customHeight="1">
      <c r="C571" s="95"/>
      <c r="F571" s="96"/>
      <c r="G571" s="97"/>
      <c r="I571" s="4"/>
    </row>
    <row r="572" ht="15.75" customHeight="1">
      <c r="C572" s="95"/>
      <c r="F572" s="96"/>
      <c r="G572" s="97"/>
      <c r="I572" s="4"/>
    </row>
    <row r="573" ht="15.75" customHeight="1">
      <c r="C573" s="95"/>
      <c r="F573" s="96"/>
      <c r="G573" s="97"/>
      <c r="I573" s="4"/>
    </row>
    <row r="574" ht="15.75" customHeight="1">
      <c r="C574" s="95"/>
      <c r="F574" s="96"/>
      <c r="G574" s="97"/>
      <c r="I574" s="4"/>
    </row>
    <row r="575" ht="15.75" customHeight="1">
      <c r="C575" s="95"/>
      <c r="F575" s="96"/>
      <c r="G575" s="97"/>
      <c r="I575" s="4"/>
    </row>
    <row r="576" ht="15.75" customHeight="1">
      <c r="C576" s="95"/>
      <c r="F576" s="96"/>
      <c r="G576" s="97"/>
      <c r="I576" s="4"/>
    </row>
    <row r="577" ht="15.75" customHeight="1">
      <c r="C577" s="95"/>
      <c r="F577" s="96"/>
      <c r="G577" s="97"/>
      <c r="I577" s="4"/>
    </row>
    <row r="578" ht="15.75" customHeight="1">
      <c r="C578" s="95"/>
      <c r="F578" s="96"/>
      <c r="G578" s="97"/>
      <c r="I578" s="4"/>
    </row>
    <row r="579" ht="15.75" customHeight="1">
      <c r="C579" s="95"/>
      <c r="F579" s="96"/>
      <c r="G579" s="97"/>
      <c r="I579" s="4"/>
    </row>
    <row r="580" ht="15.75" customHeight="1">
      <c r="C580" s="95"/>
      <c r="F580" s="96"/>
      <c r="G580" s="97"/>
      <c r="I580" s="4"/>
    </row>
    <row r="581" ht="15.75" customHeight="1">
      <c r="C581" s="95"/>
      <c r="F581" s="96"/>
      <c r="G581" s="97"/>
      <c r="I581" s="4"/>
    </row>
    <row r="582" ht="15.75" customHeight="1">
      <c r="C582" s="95"/>
      <c r="F582" s="96"/>
      <c r="G582" s="97"/>
      <c r="I582" s="4"/>
    </row>
    <row r="583" ht="15.75" customHeight="1">
      <c r="C583" s="95"/>
      <c r="F583" s="96"/>
      <c r="G583" s="97"/>
      <c r="I583" s="4"/>
    </row>
    <row r="584" ht="15.75" customHeight="1">
      <c r="C584" s="95"/>
      <c r="F584" s="96"/>
      <c r="G584" s="97"/>
      <c r="I584" s="4"/>
    </row>
    <row r="585" ht="15.75" customHeight="1">
      <c r="C585" s="95"/>
      <c r="F585" s="96"/>
      <c r="G585" s="97"/>
      <c r="I585" s="4"/>
    </row>
    <row r="586" ht="15.75" customHeight="1">
      <c r="C586" s="95"/>
      <c r="F586" s="96"/>
      <c r="G586" s="97"/>
      <c r="I586" s="4"/>
    </row>
    <row r="587" ht="15.75" customHeight="1">
      <c r="C587" s="95"/>
      <c r="F587" s="96"/>
      <c r="G587" s="97"/>
      <c r="I587" s="4"/>
    </row>
    <row r="588" ht="15.75" customHeight="1">
      <c r="C588" s="95"/>
      <c r="F588" s="96"/>
      <c r="G588" s="97"/>
      <c r="I588" s="4"/>
    </row>
    <row r="589" ht="15.75" customHeight="1">
      <c r="C589" s="95"/>
      <c r="F589" s="96"/>
      <c r="G589" s="97"/>
      <c r="I589" s="4"/>
    </row>
    <row r="590" ht="15.75" customHeight="1">
      <c r="C590" s="95"/>
      <c r="F590" s="96"/>
      <c r="G590" s="97"/>
      <c r="I590" s="4"/>
    </row>
    <row r="591" ht="15.75" customHeight="1">
      <c r="C591" s="95"/>
      <c r="F591" s="96"/>
      <c r="G591" s="97"/>
      <c r="I591" s="4"/>
    </row>
    <row r="592" ht="15.75" customHeight="1">
      <c r="C592" s="95"/>
      <c r="F592" s="96"/>
      <c r="G592" s="97"/>
      <c r="I592" s="4"/>
    </row>
    <row r="593" ht="15.75" customHeight="1">
      <c r="C593" s="95"/>
      <c r="F593" s="96"/>
      <c r="G593" s="97"/>
      <c r="I593" s="4"/>
    </row>
    <row r="594" ht="15.75" customHeight="1">
      <c r="C594" s="95"/>
      <c r="F594" s="96"/>
      <c r="G594" s="97"/>
      <c r="I594" s="4"/>
    </row>
    <row r="595" ht="15.75" customHeight="1">
      <c r="C595" s="95"/>
      <c r="F595" s="96"/>
      <c r="G595" s="97"/>
      <c r="I595" s="4"/>
    </row>
    <row r="596" ht="15.75" customHeight="1">
      <c r="C596" s="95"/>
      <c r="F596" s="96"/>
      <c r="G596" s="97"/>
      <c r="I596" s="4"/>
    </row>
    <row r="597" ht="15.75" customHeight="1">
      <c r="C597" s="95"/>
      <c r="F597" s="96"/>
      <c r="G597" s="97"/>
      <c r="I597" s="4"/>
    </row>
    <row r="598" ht="15.75" customHeight="1">
      <c r="C598" s="95"/>
      <c r="F598" s="96"/>
      <c r="G598" s="97"/>
      <c r="I598" s="4"/>
    </row>
    <row r="599" ht="15.75" customHeight="1">
      <c r="C599" s="95"/>
      <c r="F599" s="96"/>
      <c r="G599" s="97"/>
      <c r="I599" s="4"/>
    </row>
    <row r="600" ht="15.75" customHeight="1">
      <c r="C600" s="95"/>
      <c r="F600" s="96"/>
      <c r="G600" s="97"/>
      <c r="I600" s="4"/>
    </row>
    <row r="601" ht="15.75" customHeight="1">
      <c r="C601" s="95"/>
      <c r="F601" s="96"/>
      <c r="G601" s="97"/>
      <c r="I601" s="4"/>
    </row>
    <row r="602" ht="15.75" customHeight="1">
      <c r="C602" s="95"/>
      <c r="F602" s="96"/>
      <c r="G602" s="97"/>
      <c r="I602" s="4"/>
    </row>
    <row r="603" ht="15.75" customHeight="1">
      <c r="C603" s="95"/>
      <c r="F603" s="96"/>
      <c r="G603" s="97"/>
      <c r="I603" s="4"/>
    </row>
    <row r="604" ht="15.75" customHeight="1">
      <c r="C604" s="95"/>
      <c r="F604" s="96"/>
      <c r="G604" s="97"/>
      <c r="I604" s="4"/>
    </row>
    <row r="605" ht="15.75" customHeight="1">
      <c r="C605" s="95"/>
      <c r="F605" s="96"/>
      <c r="G605" s="97"/>
      <c r="I605" s="4"/>
    </row>
    <row r="606" ht="15.75" customHeight="1">
      <c r="C606" s="95"/>
      <c r="F606" s="96"/>
      <c r="G606" s="97"/>
      <c r="I606" s="4"/>
    </row>
    <row r="607" ht="15.75" customHeight="1">
      <c r="C607" s="95"/>
      <c r="F607" s="96"/>
      <c r="G607" s="97"/>
      <c r="I607" s="4"/>
    </row>
    <row r="608" ht="15.75" customHeight="1">
      <c r="C608" s="95"/>
      <c r="F608" s="96"/>
      <c r="G608" s="97"/>
      <c r="I608" s="4"/>
    </row>
    <row r="609" ht="15.75" customHeight="1">
      <c r="C609" s="95"/>
      <c r="F609" s="96"/>
      <c r="G609" s="97"/>
      <c r="I609" s="4"/>
    </row>
    <row r="610" ht="15.75" customHeight="1">
      <c r="C610" s="95"/>
      <c r="F610" s="96"/>
      <c r="G610" s="97"/>
      <c r="I610" s="4"/>
    </row>
    <row r="611" ht="15.75" customHeight="1">
      <c r="C611" s="95"/>
      <c r="F611" s="96"/>
      <c r="G611" s="97"/>
      <c r="I611" s="4"/>
    </row>
    <row r="612" ht="15.75" customHeight="1">
      <c r="C612" s="95"/>
      <c r="F612" s="96"/>
      <c r="G612" s="97"/>
      <c r="I612" s="4"/>
    </row>
    <row r="613" ht="15.75" customHeight="1">
      <c r="C613" s="95"/>
      <c r="F613" s="96"/>
      <c r="G613" s="97"/>
      <c r="I613" s="4"/>
    </row>
    <row r="614" ht="15.75" customHeight="1">
      <c r="C614" s="95"/>
      <c r="F614" s="96"/>
      <c r="G614" s="97"/>
      <c r="I614" s="4"/>
    </row>
    <row r="615" ht="15.75" customHeight="1">
      <c r="C615" s="95"/>
      <c r="F615" s="96"/>
      <c r="G615" s="97"/>
      <c r="I615" s="4"/>
    </row>
    <row r="616" ht="15.75" customHeight="1">
      <c r="C616" s="95"/>
      <c r="F616" s="96"/>
      <c r="G616" s="97"/>
      <c r="I616" s="4"/>
    </row>
    <row r="617" ht="15.75" customHeight="1">
      <c r="C617" s="95"/>
      <c r="F617" s="96"/>
      <c r="G617" s="97"/>
      <c r="I617" s="4"/>
    </row>
    <row r="618" ht="15.75" customHeight="1">
      <c r="C618" s="95"/>
      <c r="F618" s="96"/>
      <c r="G618" s="97"/>
      <c r="I618" s="4"/>
    </row>
    <row r="619" ht="15.75" customHeight="1">
      <c r="C619" s="95"/>
      <c r="F619" s="96"/>
      <c r="G619" s="97"/>
      <c r="I619" s="4"/>
    </row>
    <row r="620" ht="15.75" customHeight="1">
      <c r="C620" s="95"/>
      <c r="F620" s="96"/>
      <c r="G620" s="97"/>
      <c r="I620" s="4"/>
    </row>
    <row r="621" ht="15.75" customHeight="1">
      <c r="C621" s="95"/>
      <c r="F621" s="96"/>
      <c r="G621" s="97"/>
      <c r="I621" s="4"/>
    </row>
    <row r="622" ht="15.75" customHeight="1">
      <c r="C622" s="95"/>
      <c r="F622" s="96"/>
      <c r="G622" s="97"/>
      <c r="I622" s="4"/>
    </row>
    <row r="623" ht="15.75" customHeight="1">
      <c r="C623" s="95"/>
      <c r="F623" s="96"/>
      <c r="G623" s="97"/>
      <c r="I623" s="4"/>
    </row>
    <row r="624" ht="15.75" customHeight="1">
      <c r="C624" s="95"/>
      <c r="F624" s="96"/>
      <c r="G624" s="97"/>
      <c r="I624" s="4"/>
    </row>
    <row r="625" ht="15.75" customHeight="1">
      <c r="C625" s="95"/>
      <c r="F625" s="96"/>
      <c r="G625" s="97"/>
      <c r="I625" s="4"/>
    </row>
    <row r="626" ht="15.75" customHeight="1">
      <c r="C626" s="95"/>
      <c r="F626" s="96"/>
      <c r="G626" s="97"/>
      <c r="I626" s="4"/>
    </row>
    <row r="627" ht="15.75" customHeight="1">
      <c r="C627" s="95"/>
      <c r="F627" s="96"/>
      <c r="G627" s="97"/>
      <c r="I627" s="4"/>
    </row>
    <row r="628" ht="15.75" customHeight="1">
      <c r="C628" s="95"/>
      <c r="F628" s="96"/>
      <c r="G628" s="97"/>
      <c r="I628" s="4"/>
    </row>
    <row r="629" ht="15.75" customHeight="1">
      <c r="C629" s="95"/>
      <c r="F629" s="96"/>
      <c r="G629" s="97"/>
      <c r="I629" s="4"/>
    </row>
    <row r="630" ht="15.75" customHeight="1">
      <c r="C630" s="95"/>
      <c r="F630" s="96"/>
      <c r="G630" s="97"/>
      <c r="I630" s="4"/>
    </row>
    <row r="631" ht="15.75" customHeight="1">
      <c r="C631" s="95"/>
      <c r="F631" s="96"/>
      <c r="G631" s="97"/>
      <c r="I631" s="4"/>
    </row>
    <row r="632" ht="15.75" customHeight="1">
      <c r="C632" s="95"/>
      <c r="F632" s="96"/>
      <c r="G632" s="97"/>
      <c r="I632" s="4"/>
    </row>
    <row r="633" ht="15.75" customHeight="1">
      <c r="C633" s="95"/>
      <c r="F633" s="96"/>
      <c r="G633" s="97"/>
      <c r="I633" s="4"/>
    </row>
    <row r="634" ht="15.75" customHeight="1">
      <c r="C634" s="95"/>
      <c r="F634" s="96"/>
      <c r="G634" s="97"/>
      <c r="I634" s="4"/>
    </row>
    <row r="635" ht="15.75" customHeight="1">
      <c r="C635" s="95"/>
      <c r="F635" s="96"/>
      <c r="G635" s="97"/>
      <c r="I635" s="4"/>
    </row>
    <row r="636" ht="15.75" customHeight="1">
      <c r="C636" s="95"/>
      <c r="F636" s="96"/>
      <c r="G636" s="97"/>
      <c r="I636" s="4"/>
    </row>
    <row r="637" ht="15.75" customHeight="1">
      <c r="C637" s="95"/>
      <c r="F637" s="96"/>
      <c r="G637" s="97"/>
      <c r="I637" s="4"/>
    </row>
    <row r="638" ht="15.75" customHeight="1">
      <c r="C638" s="95"/>
      <c r="F638" s="96"/>
      <c r="G638" s="97"/>
      <c r="I638" s="4"/>
    </row>
    <row r="639" ht="15.75" customHeight="1">
      <c r="C639" s="95"/>
      <c r="F639" s="96"/>
      <c r="G639" s="97"/>
      <c r="I639" s="4"/>
    </row>
    <row r="640" ht="15.75" customHeight="1">
      <c r="C640" s="95"/>
      <c r="F640" s="96"/>
      <c r="G640" s="97"/>
      <c r="I640" s="4"/>
    </row>
    <row r="641" ht="15.75" customHeight="1">
      <c r="C641" s="95"/>
      <c r="F641" s="96"/>
      <c r="G641" s="97"/>
      <c r="I641" s="4"/>
    </row>
    <row r="642" ht="15.75" customHeight="1">
      <c r="C642" s="95"/>
      <c r="F642" s="96"/>
      <c r="G642" s="97"/>
      <c r="I642" s="4"/>
    </row>
    <row r="643" ht="15.75" customHeight="1">
      <c r="C643" s="95"/>
      <c r="F643" s="96"/>
      <c r="G643" s="97"/>
      <c r="I643" s="4"/>
    </row>
    <row r="644" ht="15.75" customHeight="1">
      <c r="C644" s="95"/>
      <c r="F644" s="96"/>
      <c r="G644" s="97"/>
      <c r="I644" s="4"/>
    </row>
    <row r="645" ht="15.75" customHeight="1">
      <c r="C645" s="95"/>
      <c r="F645" s="96"/>
      <c r="G645" s="97"/>
      <c r="I645" s="4"/>
    </row>
    <row r="646" ht="15.75" customHeight="1">
      <c r="C646" s="95"/>
      <c r="F646" s="96"/>
      <c r="G646" s="97"/>
      <c r="I646" s="4"/>
    </row>
    <row r="647" ht="15.75" customHeight="1">
      <c r="C647" s="95"/>
      <c r="F647" s="96"/>
      <c r="G647" s="97"/>
      <c r="I647" s="4"/>
    </row>
    <row r="648" ht="15.75" customHeight="1">
      <c r="C648" s="95"/>
      <c r="F648" s="96"/>
      <c r="G648" s="97"/>
      <c r="I648" s="4"/>
    </row>
    <row r="649" ht="15.75" customHeight="1">
      <c r="C649" s="95"/>
      <c r="F649" s="96"/>
      <c r="G649" s="97"/>
      <c r="I649" s="4"/>
    </row>
    <row r="650" ht="15.75" customHeight="1">
      <c r="C650" s="95"/>
      <c r="F650" s="96"/>
      <c r="G650" s="97"/>
      <c r="I650" s="4"/>
    </row>
    <row r="651" ht="15.75" customHeight="1">
      <c r="C651" s="95"/>
      <c r="F651" s="96"/>
      <c r="G651" s="97"/>
      <c r="I651" s="4"/>
    </row>
    <row r="652" ht="15.75" customHeight="1">
      <c r="C652" s="95"/>
      <c r="F652" s="96"/>
      <c r="G652" s="97"/>
      <c r="I652" s="4"/>
    </row>
    <row r="653" ht="15.75" customHeight="1">
      <c r="C653" s="95"/>
      <c r="F653" s="96"/>
      <c r="G653" s="97"/>
      <c r="I653" s="4"/>
    </row>
    <row r="654" ht="15.75" customHeight="1">
      <c r="C654" s="95"/>
      <c r="F654" s="96"/>
      <c r="G654" s="97"/>
      <c r="I654" s="4"/>
    </row>
    <row r="655" ht="15.75" customHeight="1">
      <c r="C655" s="95"/>
      <c r="F655" s="96"/>
      <c r="G655" s="97"/>
      <c r="I655" s="4"/>
    </row>
    <row r="656" ht="15.75" customHeight="1">
      <c r="C656" s="95"/>
      <c r="F656" s="96"/>
      <c r="G656" s="97"/>
      <c r="I656" s="4"/>
    </row>
    <row r="657" ht="15.75" customHeight="1">
      <c r="C657" s="95"/>
      <c r="F657" s="96"/>
      <c r="G657" s="97"/>
      <c r="I657" s="4"/>
    </row>
    <row r="658" ht="15.75" customHeight="1">
      <c r="C658" s="95"/>
      <c r="F658" s="96"/>
      <c r="G658" s="97"/>
      <c r="I658" s="4"/>
    </row>
    <row r="659" ht="15.75" customHeight="1">
      <c r="C659" s="95"/>
      <c r="F659" s="96"/>
      <c r="G659" s="97"/>
      <c r="I659" s="4"/>
    </row>
    <row r="660" ht="15.75" customHeight="1">
      <c r="C660" s="95"/>
      <c r="F660" s="96"/>
      <c r="G660" s="97"/>
      <c r="I660" s="4"/>
    </row>
    <row r="661" ht="15.75" customHeight="1">
      <c r="C661" s="95"/>
      <c r="F661" s="96"/>
      <c r="G661" s="97"/>
      <c r="I661" s="4"/>
    </row>
    <row r="662" ht="15.75" customHeight="1">
      <c r="C662" s="95"/>
      <c r="F662" s="96"/>
      <c r="G662" s="97"/>
      <c r="I662" s="4"/>
    </row>
    <row r="663" ht="15.75" customHeight="1">
      <c r="C663" s="95"/>
      <c r="F663" s="96"/>
      <c r="G663" s="97"/>
      <c r="I663" s="4"/>
    </row>
    <row r="664" ht="15.75" customHeight="1">
      <c r="C664" s="95"/>
      <c r="F664" s="96"/>
      <c r="G664" s="97"/>
      <c r="I664" s="4"/>
    </row>
    <row r="665" ht="15.75" customHeight="1">
      <c r="C665" s="95"/>
      <c r="F665" s="96"/>
      <c r="G665" s="97"/>
      <c r="I665" s="4"/>
    </row>
    <row r="666" ht="15.75" customHeight="1">
      <c r="C666" s="95"/>
      <c r="F666" s="96"/>
      <c r="G666" s="97"/>
      <c r="I666" s="4"/>
    </row>
    <row r="667" ht="15.75" customHeight="1">
      <c r="C667" s="95"/>
      <c r="F667" s="96"/>
      <c r="G667" s="97"/>
      <c r="I667" s="4"/>
    </row>
    <row r="668" ht="15.75" customHeight="1">
      <c r="C668" s="95"/>
      <c r="F668" s="96"/>
      <c r="G668" s="97"/>
      <c r="I668" s="4"/>
    </row>
    <row r="669" ht="15.75" customHeight="1">
      <c r="C669" s="95"/>
      <c r="F669" s="96"/>
      <c r="G669" s="97"/>
      <c r="I669" s="4"/>
    </row>
    <row r="670" ht="15.75" customHeight="1">
      <c r="C670" s="95"/>
      <c r="F670" s="96"/>
      <c r="G670" s="97"/>
      <c r="I670" s="4"/>
    </row>
    <row r="671" ht="15.75" customHeight="1">
      <c r="C671" s="95"/>
      <c r="F671" s="96"/>
      <c r="G671" s="97"/>
      <c r="I671" s="4"/>
    </row>
    <row r="672" ht="15.75" customHeight="1">
      <c r="C672" s="95"/>
      <c r="F672" s="96"/>
      <c r="G672" s="97"/>
      <c r="I672" s="4"/>
    </row>
    <row r="673" ht="15.75" customHeight="1">
      <c r="C673" s="95"/>
      <c r="F673" s="96"/>
      <c r="G673" s="97"/>
      <c r="I673" s="4"/>
    </row>
    <row r="674" ht="15.75" customHeight="1">
      <c r="C674" s="95"/>
      <c r="F674" s="96"/>
      <c r="G674" s="97"/>
      <c r="I674" s="4"/>
    </row>
    <row r="675" ht="15.75" customHeight="1">
      <c r="C675" s="95"/>
      <c r="F675" s="96"/>
      <c r="G675" s="97"/>
      <c r="I675" s="4"/>
    </row>
    <row r="676" ht="15.75" customHeight="1">
      <c r="C676" s="95"/>
      <c r="F676" s="96"/>
      <c r="G676" s="97"/>
      <c r="I676" s="4"/>
    </row>
    <row r="677" ht="15.75" customHeight="1">
      <c r="C677" s="95"/>
      <c r="F677" s="96"/>
      <c r="G677" s="97"/>
      <c r="I677" s="4"/>
    </row>
    <row r="678" ht="15.75" customHeight="1">
      <c r="C678" s="95"/>
      <c r="F678" s="96"/>
      <c r="G678" s="97"/>
      <c r="I678" s="4"/>
    </row>
    <row r="679" ht="15.75" customHeight="1">
      <c r="C679" s="95"/>
      <c r="F679" s="96"/>
      <c r="G679" s="97"/>
      <c r="I679" s="4"/>
    </row>
    <row r="680" ht="15.75" customHeight="1">
      <c r="C680" s="95"/>
      <c r="F680" s="96"/>
      <c r="G680" s="97"/>
      <c r="I680" s="4"/>
    </row>
    <row r="681" ht="15.75" customHeight="1">
      <c r="C681" s="95"/>
      <c r="F681" s="96"/>
      <c r="G681" s="97"/>
      <c r="I681" s="4"/>
    </row>
    <row r="682" ht="15.75" customHeight="1">
      <c r="C682" s="95"/>
      <c r="F682" s="96"/>
      <c r="G682" s="97"/>
      <c r="I682" s="4"/>
    </row>
    <row r="683" ht="15.75" customHeight="1">
      <c r="C683" s="95"/>
      <c r="F683" s="96"/>
      <c r="G683" s="97"/>
      <c r="I683" s="4"/>
    </row>
    <row r="684" ht="15.75" customHeight="1">
      <c r="C684" s="95"/>
      <c r="F684" s="96"/>
      <c r="G684" s="97"/>
      <c r="I684" s="4"/>
    </row>
    <row r="685" ht="15.75" customHeight="1">
      <c r="C685" s="95"/>
      <c r="F685" s="96"/>
      <c r="G685" s="97"/>
      <c r="I685" s="4"/>
    </row>
    <row r="686" ht="15.75" customHeight="1">
      <c r="C686" s="95"/>
      <c r="F686" s="96"/>
      <c r="G686" s="97"/>
      <c r="I686" s="4"/>
    </row>
    <row r="687" ht="15.75" customHeight="1">
      <c r="C687" s="95"/>
      <c r="F687" s="96"/>
      <c r="G687" s="97"/>
      <c r="I687" s="4"/>
    </row>
    <row r="688" ht="15.75" customHeight="1">
      <c r="C688" s="95"/>
      <c r="F688" s="96"/>
      <c r="G688" s="97"/>
      <c r="I688" s="4"/>
    </row>
    <row r="689" ht="15.75" customHeight="1">
      <c r="C689" s="95"/>
      <c r="F689" s="96"/>
      <c r="G689" s="97"/>
      <c r="I689" s="4"/>
    </row>
    <row r="690" ht="15.75" customHeight="1">
      <c r="C690" s="95"/>
      <c r="F690" s="96"/>
      <c r="G690" s="97"/>
      <c r="I690" s="4"/>
    </row>
    <row r="691" ht="15.75" customHeight="1">
      <c r="C691" s="95"/>
      <c r="F691" s="96"/>
      <c r="G691" s="97"/>
      <c r="I691" s="4"/>
    </row>
    <row r="692" ht="15.75" customHeight="1">
      <c r="C692" s="95"/>
      <c r="F692" s="96"/>
      <c r="G692" s="97"/>
      <c r="I692" s="4"/>
    </row>
    <row r="693" ht="15.75" customHeight="1">
      <c r="C693" s="95"/>
      <c r="F693" s="96"/>
      <c r="G693" s="97"/>
      <c r="I693" s="4"/>
    </row>
    <row r="694" ht="15.75" customHeight="1">
      <c r="C694" s="95"/>
      <c r="F694" s="96"/>
      <c r="G694" s="97"/>
      <c r="I694" s="4"/>
    </row>
    <row r="695" ht="15.75" customHeight="1">
      <c r="C695" s="95"/>
      <c r="F695" s="96"/>
      <c r="G695" s="97"/>
      <c r="I695" s="4"/>
    </row>
    <row r="696" ht="15.75" customHeight="1">
      <c r="C696" s="95"/>
      <c r="F696" s="96"/>
      <c r="G696" s="97"/>
      <c r="I696" s="4"/>
    </row>
    <row r="697" ht="15.75" customHeight="1">
      <c r="C697" s="95"/>
      <c r="F697" s="96"/>
      <c r="G697" s="97"/>
      <c r="I697" s="4"/>
    </row>
    <row r="698" ht="15.75" customHeight="1">
      <c r="C698" s="95"/>
      <c r="F698" s="96"/>
      <c r="G698" s="97"/>
      <c r="I698" s="4"/>
    </row>
    <row r="699" ht="15.75" customHeight="1">
      <c r="C699" s="95"/>
      <c r="F699" s="96"/>
      <c r="G699" s="97"/>
      <c r="I699" s="4"/>
    </row>
    <row r="700" ht="15.75" customHeight="1">
      <c r="C700" s="95"/>
      <c r="F700" s="96"/>
      <c r="G700" s="97"/>
      <c r="I700" s="4"/>
    </row>
    <row r="701" ht="15.75" customHeight="1">
      <c r="C701" s="95"/>
      <c r="F701" s="96"/>
      <c r="G701" s="97"/>
      <c r="I701" s="4"/>
    </row>
    <row r="702" ht="15.75" customHeight="1">
      <c r="C702" s="95"/>
      <c r="F702" s="96"/>
      <c r="G702" s="97"/>
      <c r="I702" s="4"/>
    </row>
    <row r="703" ht="15.75" customHeight="1">
      <c r="C703" s="95"/>
      <c r="F703" s="96"/>
      <c r="G703" s="97"/>
      <c r="I703" s="4"/>
    </row>
    <row r="704" ht="15.75" customHeight="1">
      <c r="C704" s="95"/>
      <c r="F704" s="96"/>
      <c r="G704" s="97"/>
      <c r="I704" s="4"/>
    </row>
    <row r="705" ht="15.75" customHeight="1">
      <c r="C705" s="95"/>
      <c r="F705" s="96"/>
      <c r="G705" s="97"/>
      <c r="I705" s="4"/>
    </row>
    <row r="706" ht="15.75" customHeight="1">
      <c r="C706" s="95"/>
      <c r="F706" s="96"/>
      <c r="G706" s="97"/>
      <c r="I706" s="4"/>
    </row>
    <row r="707" ht="15.75" customHeight="1">
      <c r="C707" s="95"/>
      <c r="F707" s="96"/>
      <c r="G707" s="97"/>
      <c r="I707" s="4"/>
    </row>
    <row r="708" ht="15.75" customHeight="1">
      <c r="C708" s="95"/>
      <c r="F708" s="96"/>
      <c r="G708" s="97"/>
      <c r="I708" s="4"/>
    </row>
    <row r="709" ht="15.75" customHeight="1">
      <c r="C709" s="95"/>
      <c r="F709" s="96"/>
      <c r="G709" s="97"/>
      <c r="I709" s="4"/>
    </row>
    <row r="710" ht="15.75" customHeight="1">
      <c r="C710" s="95"/>
      <c r="F710" s="96"/>
      <c r="G710" s="97"/>
      <c r="I710" s="4"/>
    </row>
    <row r="711" ht="15.75" customHeight="1">
      <c r="C711" s="95"/>
      <c r="F711" s="96"/>
      <c r="G711" s="97"/>
      <c r="I711" s="4"/>
    </row>
    <row r="712" ht="15.75" customHeight="1">
      <c r="C712" s="95"/>
      <c r="F712" s="96"/>
      <c r="G712" s="97"/>
      <c r="I712" s="4"/>
    </row>
    <row r="713" ht="15.75" customHeight="1">
      <c r="C713" s="95"/>
      <c r="F713" s="96"/>
      <c r="G713" s="97"/>
      <c r="I713" s="4"/>
    </row>
    <row r="714" ht="15.75" customHeight="1">
      <c r="C714" s="95"/>
      <c r="F714" s="96"/>
      <c r="G714" s="97"/>
      <c r="I714" s="4"/>
    </row>
    <row r="715" ht="15.75" customHeight="1">
      <c r="C715" s="95"/>
      <c r="F715" s="96"/>
      <c r="G715" s="97"/>
      <c r="I715" s="4"/>
    </row>
    <row r="716" ht="15.75" customHeight="1">
      <c r="C716" s="95"/>
      <c r="F716" s="96"/>
      <c r="G716" s="97"/>
      <c r="I716" s="4"/>
    </row>
    <row r="717" ht="15.75" customHeight="1">
      <c r="C717" s="95"/>
      <c r="F717" s="96"/>
      <c r="G717" s="97"/>
      <c r="I717" s="4"/>
    </row>
    <row r="718" ht="15.75" customHeight="1">
      <c r="C718" s="95"/>
      <c r="F718" s="96"/>
      <c r="G718" s="97"/>
      <c r="I718" s="4"/>
    </row>
    <row r="719" ht="15.75" customHeight="1">
      <c r="C719" s="95"/>
      <c r="F719" s="96"/>
      <c r="G719" s="97"/>
      <c r="I719" s="4"/>
    </row>
    <row r="720" ht="15.75" customHeight="1">
      <c r="C720" s="95"/>
      <c r="F720" s="96"/>
      <c r="G720" s="97"/>
      <c r="I720" s="4"/>
    </row>
    <row r="721" ht="15.75" customHeight="1">
      <c r="C721" s="95"/>
      <c r="F721" s="96"/>
      <c r="G721" s="97"/>
      <c r="I721" s="4"/>
    </row>
    <row r="722" ht="15.75" customHeight="1">
      <c r="C722" s="95"/>
      <c r="F722" s="96"/>
      <c r="G722" s="97"/>
      <c r="I722" s="4"/>
    </row>
    <row r="723" ht="15.75" customHeight="1">
      <c r="C723" s="95"/>
      <c r="F723" s="96"/>
      <c r="G723" s="97"/>
      <c r="I723" s="4"/>
    </row>
    <row r="724" ht="15.75" customHeight="1">
      <c r="C724" s="95"/>
      <c r="F724" s="96"/>
      <c r="G724" s="97"/>
      <c r="I724" s="4"/>
    </row>
    <row r="725" ht="15.75" customHeight="1">
      <c r="C725" s="95"/>
      <c r="F725" s="96"/>
      <c r="G725" s="97"/>
      <c r="I725" s="4"/>
    </row>
    <row r="726" ht="15.75" customHeight="1">
      <c r="C726" s="95"/>
      <c r="F726" s="96"/>
      <c r="G726" s="97"/>
      <c r="I726" s="4"/>
    </row>
    <row r="727" ht="15.75" customHeight="1">
      <c r="C727" s="95"/>
      <c r="F727" s="96"/>
      <c r="G727" s="97"/>
      <c r="I727" s="4"/>
    </row>
    <row r="728" ht="15.75" customHeight="1">
      <c r="C728" s="95"/>
      <c r="F728" s="96"/>
      <c r="G728" s="97"/>
      <c r="I728" s="4"/>
    </row>
    <row r="729" ht="15.75" customHeight="1">
      <c r="C729" s="95"/>
      <c r="F729" s="96"/>
      <c r="G729" s="97"/>
      <c r="I729" s="4"/>
    </row>
    <row r="730" ht="15.75" customHeight="1">
      <c r="C730" s="95"/>
      <c r="F730" s="96"/>
      <c r="G730" s="97"/>
      <c r="I730" s="4"/>
    </row>
    <row r="731" ht="15.75" customHeight="1">
      <c r="C731" s="95"/>
      <c r="F731" s="96"/>
      <c r="G731" s="97"/>
      <c r="I731" s="4"/>
    </row>
    <row r="732" ht="15.75" customHeight="1">
      <c r="C732" s="95"/>
      <c r="F732" s="96"/>
      <c r="G732" s="97"/>
      <c r="I732" s="4"/>
    </row>
    <row r="733" ht="15.75" customHeight="1">
      <c r="C733" s="95"/>
      <c r="F733" s="96"/>
      <c r="G733" s="97"/>
      <c r="I733" s="4"/>
    </row>
    <row r="734" ht="15.75" customHeight="1">
      <c r="C734" s="95"/>
      <c r="F734" s="96"/>
      <c r="G734" s="97"/>
      <c r="I734" s="4"/>
    </row>
    <row r="735" ht="15.75" customHeight="1">
      <c r="C735" s="95"/>
      <c r="F735" s="96"/>
      <c r="G735" s="97"/>
      <c r="I735" s="4"/>
    </row>
    <row r="736" ht="15.75" customHeight="1">
      <c r="C736" s="95"/>
      <c r="F736" s="96"/>
      <c r="G736" s="97"/>
      <c r="I736" s="4"/>
    </row>
    <row r="737" ht="15.75" customHeight="1">
      <c r="C737" s="95"/>
      <c r="F737" s="96"/>
      <c r="G737" s="97"/>
      <c r="I737" s="4"/>
    </row>
    <row r="738" ht="15.75" customHeight="1">
      <c r="C738" s="95"/>
      <c r="F738" s="96"/>
      <c r="G738" s="97"/>
      <c r="I738" s="4"/>
    </row>
    <row r="739" ht="15.75" customHeight="1">
      <c r="C739" s="95"/>
      <c r="F739" s="96"/>
      <c r="G739" s="97"/>
      <c r="I739" s="4"/>
    </row>
    <row r="740" ht="15.75" customHeight="1">
      <c r="C740" s="95"/>
      <c r="F740" s="96"/>
      <c r="G740" s="97"/>
      <c r="I740" s="4"/>
    </row>
    <row r="741" ht="15.75" customHeight="1">
      <c r="C741" s="95"/>
      <c r="F741" s="96"/>
      <c r="G741" s="97"/>
      <c r="I741" s="4"/>
    </row>
    <row r="742" ht="15.75" customHeight="1">
      <c r="C742" s="95"/>
      <c r="F742" s="96"/>
      <c r="G742" s="97"/>
      <c r="I742" s="4"/>
    </row>
    <row r="743" ht="15.75" customHeight="1">
      <c r="C743" s="95"/>
      <c r="F743" s="96"/>
      <c r="G743" s="97"/>
      <c r="I743" s="4"/>
    </row>
    <row r="744" ht="15.75" customHeight="1">
      <c r="C744" s="95"/>
      <c r="F744" s="96"/>
      <c r="G744" s="97"/>
      <c r="I744" s="4"/>
    </row>
    <row r="745" ht="15.75" customHeight="1">
      <c r="C745" s="95"/>
      <c r="F745" s="96"/>
      <c r="G745" s="97"/>
      <c r="I745" s="4"/>
    </row>
    <row r="746" ht="15.75" customHeight="1">
      <c r="C746" s="95"/>
      <c r="F746" s="96"/>
      <c r="G746" s="97"/>
      <c r="I746" s="4"/>
    </row>
    <row r="747" ht="15.75" customHeight="1">
      <c r="C747" s="95"/>
      <c r="F747" s="96"/>
      <c r="G747" s="97"/>
      <c r="I747" s="4"/>
    </row>
    <row r="748" ht="15.75" customHeight="1">
      <c r="C748" s="95"/>
      <c r="F748" s="96"/>
      <c r="G748" s="97"/>
      <c r="I748" s="4"/>
    </row>
    <row r="749" ht="15.75" customHeight="1">
      <c r="C749" s="95"/>
      <c r="F749" s="96"/>
      <c r="G749" s="97"/>
      <c r="I749" s="4"/>
    </row>
    <row r="750" ht="15.75" customHeight="1">
      <c r="C750" s="95"/>
      <c r="F750" s="96"/>
      <c r="G750" s="97"/>
      <c r="I750" s="4"/>
    </row>
    <row r="751" ht="15.75" customHeight="1">
      <c r="C751" s="95"/>
      <c r="F751" s="96"/>
      <c r="G751" s="97"/>
      <c r="I751" s="4"/>
    </row>
    <row r="752" ht="15.75" customHeight="1">
      <c r="C752" s="95"/>
      <c r="F752" s="96"/>
      <c r="G752" s="97"/>
      <c r="I752" s="4"/>
    </row>
    <row r="753" ht="15.75" customHeight="1">
      <c r="C753" s="95"/>
      <c r="F753" s="96"/>
      <c r="G753" s="97"/>
      <c r="I753" s="4"/>
    </row>
    <row r="754" ht="15.75" customHeight="1">
      <c r="C754" s="95"/>
      <c r="F754" s="96"/>
      <c r="G754" s="97"/>
      <c r="I754" s="4"/>
    </row>
    <row r="755" ht="15.75" customHeight="1">
      <c r="C755" s="95"/>
      <c r="F755" s="96"/>
      <c r="G755" s="97"/>
      <c r="I755" s="4"/>
    </row>
    <row r="756" ht="15.75" customHeight="1">
      <c r="C756" s="95"/>
      <c r="F756" s="96"/>
      <c r="G756" s="97"/>
      <c r="I756" s="4"/>
    </row>
    <row r="757" ht="15.75" customHeight="1">
      <c r="C757" s="95"/>
      <c r="F757" s="96"/>
      <c r="G757" s="97"/>
      <c r="I757" s="4"/>
    </row>
    <row r="758" ht="15.75" customHeight="1">
      <c r="C758" s="95"/>
      <c r="F758" s="96"/>
      <c r="G758" s="97"/>
      <c r="I758" s="4"/>
    </row>
    <row r="759" ht="15.75" customHeight="1">
      <c r="C759" s="95"/>
      <c r="F759" s="96"/>
      <c r="G759" s="97"/>
      <c r="I759" s="4"/>
    </row>
    <row r="760" ht="15.75" customHeight="1">
      <c r="C760" s="95"/>
      <c r="F760" s="96"/>
      <c r="G760" s="97"/>
      <c r="I760" s="4"/>
    </row>
    <row r="761" ht="15.75" customHeight="1">
      <c r="C761" s="95"/>
      <c r="F761" s="96"/>
      <c r="G761" s="97"/>
      <c r="I761" s="4"/>
    </row>
    <row r="762" ht="15.75" customHeight="1">
      <c r="C762" s="95"/>
      <c r="F762" s="96"/>
      <c r="G762" s="97"/>
      <c r="I762" s="4"/>
    </row>
    <row r="763" ht="15.75" customHeight="1">
      <c r="C763" s="95"/>
      <c r="F763" s="96"/>
      <c r="G763" s="97"/>
      <c r="I763" s="4"/>
    </row>
    <row r="764" ht="15.75" customHeight="1">
      <c r="C764" s="95"/>
      <c r="F764" s="96"/>
      <c r="G764" s="97"/>
      <c r="I764" s="4"/>
    </row>
    <row r="765" ht="15.75" customHeight="1">
      <c r="C765" s="95"/>
      <c r="F765" s="96"/>
      <c r="G765" s="97"/>
      <c r="I765" s="4"/>
    </row>
    <row r="766" ht="15.75" customHeight="1">
      <c r="C766" s="95"/>
      <c r="F766" s="96"/>
      <c r="G766" s="97"/>
      <c r="I766" s="4"/>
    </row>
    <row r="767" ht="15.75" customHeight="1">
      <c r="C767" s="95"/>
      <c r="F767" s="96"/>
      <c r="G767" s="97"/>
      <c r="I767" s="4"/>
    </row>
    <row r="768" ht="15.75" customHeight="1">
      <c r="C768" s="95"/>
      <c r="F768" s="96"/>
      <c r="G768" s="97"/>
      <c r="I768" s="4"/>
    </row>
    <row r="769" ht="15.75" customHeight="1">
      <c r="C769" s="95"/>
      <c r="F769" s="96"/>
      <c r="G769" s="97"/>
      <c r="I769" s="4"/>
    </row>
    <row r="770" ht="15.75" customHeight="1">
      <c r="C770" s="95"/>
      <c r="F770" s="96"/>
      <c r="G770" s="97"/>
      <c r="I770" s="4"/>
    </row>
    <row r="771" ht="15.75" customHeight="1">
      <c r="C771" s="95"/>
      <c r="F771" s="96"/>
      <c r="G771" s="97"/>
      <c r="I771" s="4"/>
    </row>
    <row r="772" ht="15.75" customHeight="1">
      <c r="C772" s="95"/>
      <c r="F772" s="96"/>
      <c r="G772" s="97"/>
      <c r="I772" s="4"/>
    </row>
    <row r="773" ht="15.75" customHeight="1">
      <c r="C773" s="95"/>
      <c r="F773" s="96"/>
      <c r="G773" s="97"/>
      <c r="I773" s="4"/>
    </row>
    <row r="774" ht="15.75" customHeight="1">
      <c r="C774" s="95"/>
      <c r="F774" s="96"/>
      <c r="G774" s="97"/>
      <c r="I774" s="4"/>
    </row>
    <row r="775" ht="15.75" customHeight="1">
      <c r="C775" s="95"/>
      <c r="F775" s="96"/>
      <c r="G775" s="97"/>
      <c r="I775" s="4"/>
    </row>
    <row r="776" ht="15.75" customHeight="1">
      <c r="C776" s="95"/>
      <c r="F776" s="96"/>
      <c r="G776" s="97"/>
      <c r="I776" s="4"/>
    </row>
    <row r="777" ht="15.75" customHeight="1">
      <c r="C777" s="95"/>
      <c r="F777" s="96"/>
      <c r="G777" s="97"/>
      <c r="I777" s="4"/>
    </row>
    <row r="778" ht="15.75" customHeight="1">
      <c r="C778" s="95"/>
      <c r="F778" s="96"/>
      <c r="G778" s="97"/>
      <c r="I778" s="4"/>
    </row>
    <row r="779" ht="15.75" customHeight="1">
      <c r="C779" s="95"/>
      <c r="F779" s="96"/>
      <c r="G779" s="97"/>
      <c r="I779" s="4"/>
    </row>
    <row r="780" ht="15.75" customHeight="1">
      <c r="C780" s="95"/>
      <c r="F780" s="96"/>
      <c r="G780" s="97"/>
      <c r="I780" s="4"/>
    </row>
    <row r="781" ht="15.75" customHeight="1">
      <c r="C781" s="95"/>
      <c r="F781" s="96"/>
      <c r="G781" s="97"/>
      <c r="I781" s="4"/>
    </row>
    <row r="782" ht="15.75" customHeight="1">
      <c r="C782" s="95"/>
      <c r="F782" s="96"/>
      <c r="G782" s="97"/>
      <c r="I782" s="4"/>
    </row>
    <row r="783" ht="15.75" customHeight="1">
      <c r="C783" s="95"/>
      <c r="F783" s="96"/>
      <c r="G783" s="97"/>
      <c r="I783" s="4"/>
    </row>
    <row r="784" ht="15.75" customHeight="1">
      <c r="C784" s="95"/>
      <c r="F784" s="96"/>
      <c r="G784" s="97"/>
      <c r="I784" s="4"/>
    </row>
    <row r="785" ht="15.75" customHeight="1">
      <c r="C785" s="95"/>
      <c r="F785" s="96"/>
      <c r="G785" s="97"/>
      <c r="I785" s="4"/>
    </row>
    <row r="786" ht="15.75" customHeight="1">
      <c r="C786" s="95"/>
      <c r="F786" s="96"/>
      <c r="G786" s="97"/>
      <c r="I786" s="4"/>
    </row>
    <row r="787" ht="15.75" customHeight="1">
      <c r="C787" s="95"/>
      <c r="F787" s="96"/>
      <c r="G787" s="97"/>
      <c r="I787" s="4"/>
    </row>
    <row r="788" ht="15.75" customHeight="1">
      <c r="C788" s="95"/>
      <c r="F788" s="96"/>
      <c r="G788" s="97"/>
      <c r="I788" s="4"/>
    </row>
    <row r="789" ht="15.75" customHeight="1">
      <c r="C789" s="95"/>
      <c r="F789" s="96"/>
      <c r="G789" s="97"/>
      <c r="I789" s="4"/>
    </row>
    <row r="790" ht="15.75" customHeight="1">
      <c r="C790" s="95"/>
      <c r="F790" s="96"/>
      <c r="G790" s="97"/>
      <c r="I790" s="4"/>
    </row>
    <row r="791" ht="15.75" customHeight="1">
      <c r="C791" s="95"/>
      <c r="F791" s="96"/>
      <c r="G791" s="97"/>
      <c r="I791" s="4"/>
    </row>
    <row r="792" ht="15.75" customHeight="1">
      <c r="C792" s="95"/>
      <c r="F792" s="96"/>
      <c r="G792" s="97"/>
      <c r="I792" s="4"/>
    </row>
    <row r="793" ht="15.75" customHeight="1">
      <c r="C793" s="95"/>
      <c r="F793" s="96"/>
      <c r="G793" s="97"/>
      <c r="I793" s="4"/>
    </row>
    <row r="794" ht="15.75" customHeight="1">
      <c r="C794" s="95"/>
      <c r="F794" s="96"/>
      <c r="G794" s="97"/>
      <c r="I794" s="4"/>
    </row>
    <row r="795" ht="15.75" customHeight="1">
      <c r="C795" s="95"/>
      <c r="F795" s="96"/>
      <c r="G795" s="97"/>
      <c r="I795" s="4"/>
    </row>
    <row r="796" ht="15.75" customHeight="1">
      <c r="C796" s="95"/>
      <c r="F796" s="96"/>
      <c r="G796" s="97"/>
      <c r="I796" s="4"/>
    </row>
    <row r="797" ht="15.75" customHeight="1">
      <c r="C797" s="95"/>
      <c r="F797" s="96"/>
      <c r="G797" s="97"/>
      <c r="I797" s="4"/>
    </row>
    <row r="798" ht="15.75" customHeight="1">
      <c r="C798" s="95"/>
      <c r="F798" s="96"/>
      <c r="G798" s="97"/>
      <c r="I798" s="4"/>
    </row>
    <row r="799" ht="15.75" customHeight="1">
      <c r="C799" s="95"/>
      <c r="F799" s="96"/>
      <c r="G799" s="97"/>
      <c r="I799" s="4"/>
    </row>
    <row r="800" ht="15.75" customHeight="1">
      <c r="C800" s="95"/>
      <c r="F800" s="96"/>
      <c r="G800" s="97"/>
      <c r="I800" s="4"/>
    </row>
    <row r="801" ht="15.75" customHeight="1">
      <c r="C801" s="95"/>
      <c r="F801" s="96"/>
      <c r="G801" s="97"/>
      <c r="I801" s="4"/>
    </row>
    <row r="802" ht="15.75" customHeight="1">
      <c r="C802" s="95"/>
      <c r="F802" s="96"/>
      <c r="G802" s="97"/>
      <c r="I802" s="4"/>
    </row>
    <row r="803" ht="15.75" customHeight="1">
      <c r="C803" s="95"/>
      <c r="F803" s="96"/>
      <c r="G803" s="97"/>
      <c r="I803" s="4"/>
    </row>
    <row r="804" ht="15.75" customHeight="1">
      <c r="C804" s="95"/>
      <c r="F804" s="96"/>
      <c r="G804" s="97"/>
      <c r="I804" s="4"/>
    </row>
    <row r="805" ht="15.75" customHeight="1">
      <c r="C805" s="95"/>
      <c r="F805" s="96"/>
      <c r="G805" s="97"/>
      <c r="I805" s="4"/>
    </row>
    <row r="806" ht="15.75" customHeight="1">
      <c r="C806" s="95"/>
      <c r="F806" s="96"/>
      <c r="G806" s="97"/>
      <c r="I806" s="4"/>
    </row>
    <row r="807" ht="15.75" customHeight="1">
      <c r="C807" s="95"/>
      <c r="F807" s="96"/>
      <c r="G807" s="97"/>
      <c r="I807" s="4"/>
    </row>
    <row r="808" ht="15.75" customHeight="1">
      <c r="C808" s="95"/>
      <c r="F808" s="96"/>
      <c r="G808" s="97"/>
      <c r="I808" s="4"/>
    </row>
    <row r="809" ht="15.75" customHeight="1">
      <c r="C809" s="95"/>
      <c r="F809" s="96"/>
      <c r="G809" s="97"/>
      <c r="I809" s="4"/>
    </row>
    <row r="810" ht="15.75" customHeight="1">
      <c r="C810" s="95"/>
      <c r="F810" s="96"/>
      <c r="G810" s="97"/>
      <c r="I810" s="4"/>
    </row>
    <row r="811" ht="15.75" customHeight="1">
      <c r="C811" s="95"/>
      <c r="F811" s="96"/>
      <c r="G811" s="97"/>
      <c r="I811" s="4"/>
    </row>
    <row r="812" ht="15.75" customHeight="1">
      <c r="C812" s="95"/>
      <c r="F812" s="96"/>
      <c r="G812" s="97"/>
      <c r="I812" s="4"/>
    </row>
    <row r="813" ht="15.75" customHeight="1">
      <c r="C813" s="95"/>
      <c r="F813" s="96"/>
      <c r="G813" s="97"/>
      <c r="I813" s="4"/>
    </row>
    <row r="814" ht="15.75" customHeight="1">
      <c r="C814" s="95"/>
      <c r="F814" s="96"/>
      <c r="G814" s="97"/>
      <c r="I814" s="4"/>
    </row>
    <row r="815" ht="15.75" customHeight="1">
      <c r="C815" s="95"/>
      <c r="F815" s="96"/>
      <c r="G815" s="97"/>
      <c r="I815" s="4"/>
    </row>
    <row r="816" ht="15.75" customHeight="1">
      <c r="C816" s="95"/>
      <c r="F816" s="96"/>
      <c r="G816" s="97"/>
      <c r="I816" s="4"/>
    </row>
    <row r="817" ht="15.75" customHeight="1">
      <c r="C817" s="95"/>
      <c r="F817" s="96"/>
      <c r="G817" s="97"/>
      <c r="I817" s="4"/>
    </row>
    <row r="818" ht="15.75" customHeight="1">
      <c r="C818" s="95"/>
      <c r="F818" s="96"/>
      <c r="G818" s="97"/>
      <c r="I818" s="4"/>
    </row>
    <row r="819" ht="15.75" customHeight="1">
      <c r="C819" s="95"/>
      <c r="F819" s="96"/>
      <c r="G819" s="97"/>
      <c r="I819" s="4"/>
    </row>
    <row r="820" ht="15.75" customHeight="1">
      <c r="C820" s="95"/>
      <c r="F820" s="96"/>
      <c r="G820" s="97"/>
      <c r="I820" s="4"/>
    </row>
    <row r="821" ht="15.75" customHeight="1">
      <c r="C821" s="95"/>
      <c r="F821" s="96"/>
      <c r="G821" s="97"/>
      <c r="I821" s="4"/>
    </row>
    <row r="822" ht="15.75" customHeight="1">
      <c r="C822" s="95"/>
      <c r="F822" s="96"/>
      <c r="G822" s="97"/>
      <c r="I822" s="4"/>
    </row>
    <row r="823" ht="15.75" customHeight="1">
      <c r="C823" s="95"/>
      <c r="F823" s="96"/>
      <c r="G823" s="97"/>
      <c r="I823" s="4"/>
    </row>
    <row r="824" ht="15.75" customHeight="1">
      <c r="C824" s="95"/>
      <c r="F824" s="96"/>
      <c r="G824" s="97"/>
      <c r="I824" s="4"/>
    </row>
    <row r="825" ht="15.75" customHeight="1">
      <c r="C825" s="95"/>
      <c r="F825" s="96"/>
      <c r="G825" s="97"/>
      <c r="I825" s="4"/>
    </row>
    <row r="826" ht="15.75" customHeight="1">
      <c r="C826" s="95"/>
      <c r="F826" s="96"/>
      <c r="G826" s="97"/>
      <c r="I826" s="4"/>
    </row>
    <row r="827" ht="15.75" customHeight="1">
      <c r="C827" s="95"/>
      <c r="F827" s="96"/>
      <c r="G827" s="97"/>
      <c r="I827" s="4"/>
    </row>
    <row r="828" ht="15.75" customHeight="1">
      <c r="C828" s="95"/>
      <c r="F828" s="96"/>
      <c r="G828" s="97"/>
      <c r="I828" s="4"/>
    </row>
    <row r="829" ht="15.75" customHeight="1">
      <c r="C829" s="95"/>
      <c r="F829" s="96"/>
      <c r="G829" s="97"/>
      <c r="I829" s="4"/>
    </row>
    <row r="830" ht="15.75" customHeight="1">
      <c r="C830" s="95"/>
      <c r="F830" s="96"/>
      <c r="G830" s="97"/>
      <c r="I830" s="4"/>
    </row>
    <row r="831" ht="15.75" customHeight="1">
      <c r="C831" s="95"/>
      <c r="F831" s="96"/>
      <c r="G831" s="97"/>
      <c r="I831" s="4"/>
    </row>
    <row r="832" ht="15.75" customHeight="1">
      <c r="C832" s="95"/>
      <c r="F832" s="96"/>
      <c r="G832" s="97"/>
      <c r="I832" s="4"/>
    </row>
    <row r="833" ht="15.75" customHeight="1">
      <c r="C833" s="95"/>
      <c r="F833" s="96"/>
      <c r="G833" s="97"/>
      <c r="I833" s="4"/>
    </row>
    <row r="834" ht="15.75" customHeight="1">
      <c r="C834" s="95"/>
      <c r="F834" s="96"/>
      <c r="G834" s="97"/>
      <c r="I834" s="4"/>
    </row>
    <row r="835" ht="15.75" customHeight="1">
      <c r="C835" s="95"/>
      <c r="F835" s="96"/>
      <c r="G835" s="97"/>
      <c r="I835" s="4"/>
    </row>
    <row r="836" ht="15.75" customHeight="1">
      <c r="C836" s="95"/>
      <c r="F836" s="96"/>
      <c r="G836" s="97"/>
      <c r="I836" s="4"/>
    </row>
    <row r="837" ht="15.75" customHeight="1">
      <c r="C837" s="95"/>
      <c r="F837" s="96"/>
      <c r="G837" s="97"/>
      <c r="I837" s="4"/>
    </row>
    <row r="838" ht="15.75" customHeight="1">
      <c r="C838" s="95"/>
      <c r="F838" s="96"/>
      <c r="G838" s="97"/>
      <c r="I838" s="4"/>
    </row>
    <row r="839" ht="15.75" customHeight="1">
      <c r="C839" s="95"/>
      <c r="F839" s="96"/>
      <c r="G839" s="97"/>
      <c r="I839" s="4"/>
    </row>
    <row r="840" ht="15.75" customHeight="1">
      <c r="C840" s="95"/>
      <c r="F840" s="96"/>
      <c r="G840" s="97"/>
      <c r="I840" s="4"/>
    </row>
    <row r="841" ht="15.75" customHeight="1">
      <c r="C841" s="95"/>
      <c r="F841" s="96"/>
      <c r="G841" s="97"/>
      <c r="I841" s="4"/>
    </row>
    <row r="842" ht="15.75" customHeight="1">
      <c r="C842" s="95"/>
      <c r="F842" s="96"/>
      <c r="G842" s="97"/>
      <c r="I842" s="4"/>
    </row>
    <row r="843" ht="15.75" customHeight="1">
      <c r="C843" s="95"/>
      <c r="F843" s="96"/>
      <c r="G843" s="97"/>
      <c r="I843" s="4"/>
    </row>
    <row r="844" ht="15.75" customHeight="1">
      <c r="C844" s="95"/>
      <c r="F844" s="96"/>
      <c r="G844" s="97"/>
      <c r="I844" s="4"/>
    </row>
    <row r="845" ht="15.75" customHeight="1">
      <c r="C845" s="95"/>
      <c r="F845" s="96"/>
      <c r="G845" s="97"/>
      <c r="I845" s="4"/>
    </row>
    <row r="846" ht="15.75" customHeight="1">
      <c r="C846" s="95"/>
      <c r="F846" s="96"/>
      <c r="G846" s="97"/>
      <c r="I846" s="4"/>
    </row>
    <row r="847" ht="15.75" customHeight="1">
      <c r="C847" s="95"/>
      <c r="F847" s="96"/>
      <c r="G847" s="97"/>
      <c r="I847" s="4"/>
    </row>
    <row r="848" ht="15.75" customHeight="1">
      <c r="C848" s="95"/>
      <c r="F848" s="96"/>
      <c r="G848" s="97"/>
      <c r="I848" s="4"/>
    </row>
    <row r="849" ht="15.75" customHeight="1">
      <c r="C849" s="95"/>
      <c r="F849" s="96"/>
      <c r="G849" s="97"/>
      <c r="I849" s="4"/>
    </row>
    <row r="850" ht="15.75" customHeight="1">
      <c r="C850" s="95"/>
      <c r="F850" s="96"/>
      <c r="G850" s="97"/>
      <c r="I850" s="4"/>
    </row>
    <row r="851" ht="15.75" customHeight="1">
      <c r="C851" s="95"/>
      <c r="F851" s="96"/>
      <c r="G851" s="97"/>
      <c r="I851" s="4"/>
    </row>
    <row r="852" ht="15.75" customHeight="1">
      <c r="C852" s="95"/>
      <c r="F852" s="96"/>
      <c r="G852" s="97"/>
      <c r="I852" s="4"/>
    </row>
    <row r="853" ht="15.75" customHeight="1">
      <c r="C853" s="95"/>
      <c r="F853" s="96"/>
      <c r="G853" s="97"/>
      <c r="I853" s="4"/>
    </row>
    <row r="854" ht="15.75" customHeight="1">
      <c r="C854" s="95"/>
      <c r="F854" s="96"/>
      <c r="G854" s="97"/>
      <c r="I854" s="4"/>
    </row>
    <row r="855" ht="15.75" customHeight="1">
      <c r="C855" s="95"/>
      <c r="F855" s="96"/>
      <c r="G855" s="97"/>
      <c r="I855" s="4"/>
    </row>
    <row r="856" ht="15.75" customHeight="1">
      <c r="C856" s="95"/>
      <c r="F856" s="96"/>
      <c r="G856" s="97"/>
      <c r="I856" s="4"/>
    </row>
    <row r="857" ht="15.75" customHeight="1">
      <c r="C857" s="95"/>
      <c r="F857" s="96"/>
      <c r="G857" s="97"/>
      <c r="I857" s="4"/>
    </row>
    <row r="858" ht="15.75" customHeight="1">
      <c r="C858" s="95"/>
      <c r="F858" s="96"/>
      <c r="G858" s="97"/>
      <c r="I858" s="4"/>
    </row>
    <row r="859" ht="15.75" customHeight="1">
      <c r="C859" s="95"/>
      <c r="F859" s="96"/>
      <c r="G859" s="97"/>
      <c r="I859" s="4"/>
    </row>
    <row r="860" ht="15.75" customHeight="1">
      <c r="C860" s="95"/>
      <c r="F860" s="96"/>
      <c r="G860" s="97"/>
      <c r="I860" s="4"/>
    </row>
    <row r="861" ht="15.75" customHeight="1">
      <c r="C861" s="95"/>
      <c r="F861" s="96"/>
      <c r="G861" s="97"/>
      <c r="I861" s="4"/>
    </row>
    <row r="862" ht="15.75" customHeight="1">
      <c r="C862" s="95"/>
      <c r="F862" s="96"/>
      <c r="G862" s="97"/>
      <c r="I862" s="4"/>
    </row>
    <row r="863" ht="15.75" customHeight="1">
      <c r="C863" s="95"/>
      <c r="F863" s="96"/>
      <c r="G863" s="97"/>
      <c r="I863" s="4"/>
    </row>
    <row r="864" ht="15.75" customHeight="1">
      <c r="C864" s="95"/>
      <c r="F864" s="96"/>
      <c r="G864" s="97"/>
      <c r="I864" s="4"/>
    </row>
    <row r="865" ht="15.75" customHeight="1">
      <c r="C865" s="95"/>
      <c r="F865" s="96"/>
      <c r="G865" s="97"/>
      <c r="I865" s="4"/>
    </row>
    <row r="866" ht="15.75" customHeight="1">
      <c r="C866" s="95"/>
      <c r="F866" s="96"/>
      <c r="G866" s="97"/>
      <c r="I866" s="4"/>
    </row>
    <row r="867" ht="15.75" customHeight="1">
      <c r="C867" s="95"/>
      <c r="F867" s="96"/>
      <c r="G867" s="97"/>
      <c r="I867" s="4"/>
    </row>
    <row r="868" ht="15.75" customHeight="1">
      <c r="C868" s="95"/>
      <c r="F868" s="96"/>
      <c r="G868" s="97"/>
      <c r="I868" s="4"/>
    </row>
    <row r="869" ht="15.75" customHeight="1">
      <c r="C869" s="95"/>
      <c r="F869" s="96"/>
      <c r="G869" s="97"/>
      <c r="I869" s="4"/>
    </row>
    <row r="870" ht="15.75" customHeight="1">
      <c r="C870" s="95"/>
      <c r="F870" s="96"/>
      <c r="G870" s="97"/>
      <c r="I870" s="4"/>
    </row>
    <row r="871" ht="15.75" customHeight="1">
      <c r="C871" s="95"/>
      <c r="F871" s="96"/>
      <c r="G871" s="97"/>
      <c r="I871" s="4"/>
    </row>
    <row r="872" ht="15.75" customHeight="1">
      <c r="C872" s="95"/>
      <c r="F872" s="96"/>
      <c r="G872" s="97"/>
      <c r="I872" s="4"/>
    </row>
    <row r="873" ht="15.75" customHeight="1">
      <c r="C873" s="95"/>
      <c r="F873" s="96"/>
      <c r="G873" s="97"/>
      <c r="I873" s="4"/>
    </row>
    <row r="874" ht="15.75" customHeight="1">
      <c r="C874" s="95"/>
      <c r="F874" s="96"/>
      <c r="G874" s="97"/>
      <c r="I874" s="4"/>
    </row>
    <row r="875" ht="15.75" customHeight="1">
      <c r="C875" s="95"/>
      <c r="F875" s="96"/>
      <c r="G875" s="97"/>
      <c r="I875" s="4"/>
    </row>
    <row r="876" ht="15.75" customHeight="1">
      <c r="C876" s="95"/>
      <c r="F876" s="96"/>
      <c r="G876" s="97"/>
      <c r="I876" s="4"/>
    </row>
    <row r="877" ht="15.75" customHeight="1">
      <c r="C877" s="95"/>
      <c r="F877" s="96"/>
      <c r="G877" s="97"/>
      <c r="I877" s="4"/>
    </row>
    <row r="878" ht="15.75" customHeight="1">
      <c r="C878" s="95"/>
      <c r="F878" s="96"/>
      <c r="G878" s="97"/>
      <c r="I878" s="4"/>
    </row>
    <row r="879" ht="15.75" customHeight="1">
      <c r="C879" s="95"/>
      <c r="F879" s="96"/>
      <c r="G879" s="97"/>
      <c r="I879" s="4"/>
    </row>
    <row r="880" ht="15.75" customHeight="1">
      <c r="C880" s="95"/>
      <c r="F880" s="96"/>
      <c r="G880" s="97"/>
      <c r="I880" s="4"/>
    </row>
    <row r="881" ht="15.75" customHeight="1">
      <c r="C881" s="95"/>
      <c r="F881" s="96"/>
      <c r="G881" s="97"/>
      <c r="I881" s="4"/>
    </row>
    <row r="882" ht="15.75" customHeight="1">
      <c r="C882" s="95"/>
      <c r="F882" s="96"/>
      <c r="G882" s="97"/>
      <c r="I882" s="4"/>
    </row>
    <row r="883" ht="15.75" customHeight="1">
      <c r="C883" s="95"/>
      <c r="F883" s="96"/>
      <c r="G883" s="97"/>
      <c r="I883" s="4"/>
    </row>
    <row r="884" ht="15.75" customHeight="1">
      <c r="C884" s="95"/>
      <c r="F884" s="96"/>
      <c r="G884" s="97"/>
      <c r="I884" s="4"/>
    </row>
    <row r="885" ht="15.75" customHeight="1">
      <c r="C885" s="95"/>
      <c r="F885" s="96"/>
      <c r="G885" s="97"/>
      <c r="I885" s="4"/>
    </row>
    <row r="886" ht="15.75" customHeight="1">
      <c r="C886" s="95"/>
      <c r="F886" s="96"/>
      <c r="G886" s="97"/>
      <c r="I886" s="4"/>
    </row>
    <row r="887" ht="15.75" customHeight="1">
      <c r="C887" s="95"/>
      <c r="F887" s="96"/>
      <c r="G887" s="97"/>
      <c r="I887" s="4"/>
    </row>
    <row r="888" ht="15.75" customHeight="1">
      <c r="C888" s="95"/>
      <c r="F888" s="96"/>
      <c r="G888" s="97"/>
      <c r="I888" s="4"/>
    </row>
    <row r="889" ht="15.75" customHeight="1">
      <c r="C889" s="95"/>
      <c r="F889" s="96"/>
      <c r="G889" s="97"/>
      <c r="I889" s="4"/>
    </row>
    <row r="890" ht="15.75" customHeight="1">
      <c r="C890" s="95"/>
      <c r="F890" s="96"/>
      <c r="G890" s="97"/>
      <c r="I890" s="4"/>
    </row>
    <row r="891" ht="15.75" customHeight="1">
      <c r="C891" s="95"/>
      <c r="F891" s="96"/>
      <c r="G891" s="97"/>
      <c r="I891" s="4"/>
    </row>
    <row r="892" ht="15.75" customHeight="1">
      <c r="C892" s="95"/>
      <c r="F892" s="96"/>
      <c r="G892" s="97"/>
      <c r="I892" s="4"/>
    </row>
    <row r="893" ht="15.75" customHeight="1">
      <c r="C893" s="95"/>
      <c r="F893" s="96"/>
      <c r="G893" s="97"/>
      <c r="I893" s="4"/>
    </row>
    <row r="894" ht="15.75" customHeight="1">
      <c r="C894" s="95"/>
      <c r="F894" s="96"/>
      <c r="G894" s="97"/>
      <c r="I894" s="4"/>
    </row>
    <row r="895" ht="15.75" customHeight="1">
      <c r="C895" s="95"/>
      <c r="F895" s="96"/>
      <c r="G895" s="97"/>
      <c r="I895" s="4"/>
    </row>
    <row r="896" ht="15.75" customHeight="1">
      <c r="C896" s="95"/>
      <c r="F896" s="96"/>
      <c r="G896" s="97"/>
      <c r="I896" s="4"/>
    </row>
    <row r="897" ht="15.75" customHeight="1">
      <c r="C897" s="95"/>
      <c r="F897" s="96"/>
      <c r="G897" s="97"/>
      <c r="I897" s="4"/>
    </row>
    <row r="898" ht="15.75" customHeight="1">
      <c r="C898" s="95"/>
      <c r="F898" s="96"/>
      <c r="G898" s="97"/>
      <c r="I898" s="4"/>
    </row>
    <row r="899" ht="15.75" customHeight="1">
      <c r="C899" s="95"/>
      <c r="F899" s="96"/>
      <c r="G899" s="97"/>
      <c r="I899" s="4"/>
    </row>
    <row r="900" ht="15.75" customHeight="1">
      <c r="C900" s="95"/>
      <c r="F900" s="96"/>
      <c r="G900" s="97"/>
      <c r="I900" s="4"/>
    </row>
    <row r="901" ht="15.75" customHeight="1">
      <c r="C901" s="95"/>
      <c r="F901" s="96"/>
      <c r="G901" s="97"/>
      <c r="I901" s="4"/>
    </row>
    <row r="902" ht="15.75" customHeight="1">
      <c r="C902" s="95"/>
      <c r="F902" s="96"/>
      <c r="G902" s="97"/>
      <c r="I902" s="4"/>
    </row>
    <row r="903" ht="15.75" customHeight="1">
      <c r="C903" s="95"/>
      <c r="F903" s="96"/>
      <c r="G903" s="97"/>
      <c r="I903" s="4"/>
    </row>
    <row r="904" ht="15.75" customHeight="1">
      <c r="C904" s="95"/>
      <c r="F904" s="96"/>
      <c r="G904" s="97"/>
      <c r="I904" s="4"/>
    </row>
    <row r="905" ht="15.75" customHeight="1">
      <c r="C905" s="95"/>
      <c r="F905" s="96"/>
      <c r="G905" s="97"/>
      <c r="I905" s="4"/>
    </row>
    <row r="906" ht="15.75" customHeight="1">
      <c r="C906" s="95"/>
      <c r="F906" s="96"/>
      <c r="G906" s="97"/>
      <c r="I906" s="4"/>
    </row>
    <row r="907" ht="15.75" customHeight="1">
      <c r="C907" s="95"/>
      <c r="F907" s="96"/>
      <c r="G907" s="97"/>
      <c r="I907" s="4"/>
    </row>
    <row r="908" ht="15.75" customHeight="1">
      <c r="C908" s="95"/>
      <c r="F908" s="96"/>
      <c r="G908" s="97"/>
      <c r="I908" s="4"/>
    </row>
    <row r="909" ht="15.75" customHeight="1">
      <c r="C909" s="95"/>
      <c r="F909" s="96"/>
      <c r="G909" s="97"/>
      <c r="I909" s="4"/>
    </row>
    <row r="910" ht="15.75" customHeight="1">
      <c r="C910" s="95"/>
      <c r="F910" s="96"/>
      <c r="G910" s="97"/>
      <c r="I910" s="4"/>
    </row>
    <row r="911" ht="15.75" customHeight="1">
      <c r="C911" s="95"/>
      <c r="F911" s="96"/>
      <c r="G911" s="97"/>
      <c r="I911" s="4"/>
    </row>
    <row r="912" ht="15.75" customHeight="1">
      <c r="C912" s="95"/>
      <c r="F912" s="96"/>
      <c r="G912" s="97"/>
      <c r="I912" s="4"/>
    </row>
    <row r="913" ht="15.75" customHeight="1">
      <c r="C913" s="95"/>
      <c r="F913" s="96"/>
      <c r="G913" s="97"/>
      <c r="I913" s="4"/>
    </row>
    <row r="914" ht="15.75" customHeight="1">
      <c r="C914" s="95"/>
      <c r="F914" s="96"/>
      <c r="G914" s="97"/>
      <c r="I914" s="4"/>
    </row>
    <row r="915" ht="15.75" customHeight="1">
      <c r="C915" s="95"/>
      <c r="F915" s="96"/>
      <c r="G915" s="97"/>
      <c r="I915" s="4"/>
    </row>
    <row r="916" ht="15.75" customHeight="1">
      <c r="C916" s="95"/>
      <c r="F916" s="96"/>
      <c r="G916" s="97"/>
      <c r="I916" s="4"/>
    </row>
    <row r="917" ht="15.75" customHeight="1">
      <c r="C917" s="95"/>
      <c r="F917" s="96"/>
      <c r="G917" s="97"/>
      <c r="I917" s="4"/>
    </row>
    <row r="918" ht="15.75" customHeight="1">
      <c r="C918" s="95"/>
      <c r="F918" s="96"/>
      <c r="G918" s="97"/>
      <c r="I918" s="4"/>
    </row>
    <row r="919" ht="15.75" customHeight="1">
      <c r="C919" s="95"/>
      <c r="F919" s="96"/>
      <c r="G919" s="97"/>
      <c r="I919" s="4"/>
    </row>
    <row r="920" ht="15.75" customHeight="1">
      <c r="C920" s="95"/>
      <c r="F920" s="96"/>
      <c r="G920" s="97"/>
      <c r="I920" s="4"/>
    </row>
    <row r="921" ht="15.75" customHeight="1">
      <c r="C921" s="95"/>
      <c r="F921" s="96"/>
      <c r="G921" s="97"/>
      <c r="I921" s="4"/>
    </row>
    <row r="922" ht="15.75" customHeight="1">
      <c r="C922" s="95"/>
      <c r="F922" s="96"/>
      <c r="G922" s="97"/>
      <c r="I922" s="4"/>
    </row>
    <row r="923" ht="15.75" customHeight="1">
      <c r="C923" s="95"/>
      <c r="F923" s="96"/>
      <c r="G923" s="97"/>
      <c r="I923" s="4"/>
    </row>
    <row r="924" ht="15.75" customHeight="1">
      <c r="C924" s="95"/>
      <c r="F924" s="96"/>
      <c r="G924" s="97"/>
      <c r="I924" s="4"/>
    </row>
    <row r="925" ht="15.75" customHeight="1">
      <c r="C925" s="95"/>
      <c r="F925" s="96"/>
      <c r="G925" s="97"/>
      <c r="I925" s="4"/>
    </row>
    <row r="926" ht="15.75" customHeight="1">
      <c r="C926" s="95"/>
      <c r="F926" s="96"/>
      <c r="G926" s="97"/>
      <c r="I926" s="4"/>
    </row>
    <row r="927" ht="15.75" customHeight="1">
      <c r="C927" s="95"/>
      <c r="F927" s="96"/>
      <c r="G927" s="97"/>
      <c r="I927" s="4"/>
    </row>
    <row r="928" ht="15.75" customHeight="1">
      <c r="C928" s="95"/>
      <c r="F928" s="96"/>
      <c r="G928" s="97"/>
      <c r="I928" s="4"/>
    </row>
    <row r="929" ht="15.75" customHeight="1">
      <c r="C929" s="95"/>
      <c r="F929" s="96"/>
      <c r="G929" s="97"/>
      <c r="I929" s="4"/>
    </row>
    <row r="930" ht="15.75" customHeight="1">
      <c r="C930" s="95"/>
      <c r="F930" s="96"/>
      <c r="G930" s="97"/>
      <c r="I930" s="4"/>
    </row>
    <row r="931" ht="15.75" customHeight="1">
      <c r="C931" s="95"/>
      <c r="F931" s="96"/>
      <c r="G931" s="97"/>
      <c r="I931" s="4"/>
    </row>
    <row r="932" ht="15.75" customHeight="1">
      <c r="C932" s="95"/>
      <c r="F932" s="96"/>
      <c r="G932" s="97"/>
      <c r="I932" s="4"/>
    </row>
    <row r="933" ht="15.75" customHeight="1">
      <c r="C933" s="95"/>
      <c r="F933" s="96"/>
      <c r="G933" s="97"/>
      <c r="I933" s="4"/>
    </row>
    <row r="934" ht="15.75" customHeight="1">
      <c r="C934" s="95"/>
      <c r="F934" s="96"/>
      <c r="G934" s="97"/>
      <c r="I934" s="4"/>
    </row>
    <row r="935" ht="15.75" customHeight="1">
      <c r="C935" s="95"/>
      <c r="F935" s="96"/>
      <c r="G935" s="97"/>
      <c r="I935" s="4"/>
    </row>
    <row r="936" ht="15.75" customHeight="1">
      <c r="C936" s="95"/>
      <c r="F936" s="96"/>
      <c r="G936" s="97"/>
      <c r="I936" s="4"/>
    </row>
    <row r="937" ht="15.75" customHeight="1">
      <c r="C937" s="95"/>
      <c r="F937" s="96"/>
      <c r="G937" s="97"/>
      <c r="I937" s="4"/>
    </row>
    <row r="938" ht="15.75" customHeight="1">
      <c r="C938" s="95"/>
      <c r="F938" s="96"/>
      <c r="G938" s="97"/>
      <c r="I938" s="4"/>
    </row>
    <row r="939" ht="15.75" customHeight="1">
      <c r="C939" s="95"/>
      <c r="F939" s="96"/>
      <c r="G939" s="97"/>
      <c r="I939" s="4"/>
    </row>
    <row r="940" ht="15.75" customHeight="1">
      <c r="C940" s="95"/>
      <c r="F940" s="96"/>
      <c r="G940" s="97"/>
      <c r="I940" s="4"/>
    </row>
    <row r="941" ht="15.75" customHeight="1">
      <c r="C941" s="95"/>
      <c r="F941" s="96"/>
      <c r="G941" s="97"/>
      <c r="I941" s="4"/>
    </row>
    <row r="942" ht="15.75" customHeight="1">
      <c r="C942" s="95"/>
      <c r="F942" s="96"/>
      <c r="G942" s="97"/>
      <c r="I942" s="4"/>
    </row>
    <row r="943" ht="15.75" customHeight="1">
      <c r="C943" s="95"/>
      <c r="F943" s="96"/>
      <c r="G943" s="97"/>
      <c r="I943" s="4"/>
    </row>
    <row r="944" ht="15.75" customHeight="1">
      <c r="C944" s="95"/>
      <c r="F944" s="96"/>
      <c r="G944" s="97"/>
      <c r="I944" s="4"/>
    </row>
    <row r="945" ht="15.75" customHeight="1">
      <c r="C945" s="95"/>
      <c r="F945" s="96"/>
      <c r="G945" s="97"/>
      <c r="I945" s="4"/>
    </row>
    <row r="946" ht="15.75" customHeight="1">
      <c r="C946" s="95"/>
      <c r="F946" s="96"/>
      <c r="G946" s="97"/>
      <c r="I946" s="4"/>
    </row>
    <row r="947" ht="15.75" customHeight="1">
      <c r="C947" s="95"/>
      <c r="F947" s="96"/>
      <c r="G947" s="97"/>
      <c r="I947" s="4"/>
    </row>
    <row r="948" ht="15.75" customHeight="1">
      <c r="C948" s="95"/>
      <c r="F948" s="96"/>
      <c r="G948" s="97"/>
      <c r="I948" s="4"/>
    </row>
    <row r="949" ht="15.75" customHeight="1">
      <c r="C949" s="95"/>
      <c r="F949" s="96"/>
      <c r="G949" s="97"/>
      <c r="I949" s="4"/>
    </row>
    <row r="950" ht="15.75" customHeight="1">
      <c r="C950" s="95"/>
      <c r="F950" s="96"/>
      <c r="G950" s="97"/>
      <c r="I950" s="4"/>
    </row>
    <row r="951" ht="15.75" customHeight="1">
      <c r="C951" s="95"/>
      <c r="F951" s="96"/>
      <c r="G951" s="97"/>
      <c r="I951" s="4"/>
    </row>
    <row r="952" ht="15.75" customHeight="1">
      <c r="C952" s="95"/>
      <c r="F952" s="96"/>
      <c r="G952" s="97"/>
      <c r="I952" s="4"/>
    </row>
    <row r="953" ht="15.75" customHeight="1">
      <c r="C953" s="95"/>
      <c r="F953" s="96"/>
      <c r="G953" s="97"/>
      <c r="I953" s="4"/>
    </row>
    <row r="954" ht="15.75" customHeight="1">
      <c r="C954" s="95"/>
      <c r="F954" s="96"/>
      <c r="G954" s="97"/>
      <c r="I954" s="4"/>
    </row>
    <row r="955" ht="15.75" customHeight="1">
      <c r="C955" s="95"/>
      <c r="F955" s="96"/>
      <c r="G955" s="97"/>
      <c r="I955" s="4"/>
    </row>
    <row r="956" ht="15.75" customHeight="1">
      <c r="C956" s="95"/>
      <c r="F956" s="96"/>
      <c r="G956" s="97"/>
      <c r="I956" s="4"/>
    </row>
    <row r="957" ht="15.75" customHeight="1">
      <c r="C957" s="95"/>
      <c r="F957" s="96"/>
      <c r="G957" s="97"/>
      <c r="I957" s="4"/>
    </row>
    <row r="958" ht="15.75" customHeight="1">
      <c r="C958" s="95"/>
      <c r="F958" s="96"/>
      <c r="G958" s="97"/>
      <c r="I958" s="4"/>
    </row>
    <row r="959" ht="15.75" customHeight="1">
      <c r="C959" s="95"/>
      <c r="F959" s="96"/>
      <c r="G959" s="97"/>
      <c r="I959" s="4"/>
    </row>
    <row r="960" ht="15.75" customHeight="1">
      <c r="C960" s="95"/>
      <c r="F960" s="96"/>
      <c r="G960" s="97"/>
      <c r="I960" s="4"/>
    </row>
    <row r="961" ht="15.75" customHeight="1">
      <c r="C961" s="95"/>
      <c r="F961" s="96"/>
      <c r="G961" s="97"/>
      <c r="I961" s="4"/>
    </row>
    <row r="962" ht="15.75" customHeight="1">
      <c r="C962" s="95"/>
      <c r="F962" s="96"/>
      <c r="G962" s="97"/>
      <c r="I962" s="4"/>
    </row>
    <row r="963" ht="15.75" customHeight="1">
      <c r="C963" s="95"/>
      <c r="F963" s="96"/>
      <c r="G963" s="97"/>
      <c r="I963" s="4"/>
    </row>
    <row r="964" ht="15.75" customHeight="1">
      <c r="C964" s="95"/>
      <c r="F964" s="96"/>
      <c r="G964" s="97"/>
      <c r="I964" s="4"/>
    </row>
    <row r="965" ht="15.75" customHeight="1">
      <c r="C965" s="95"/>
      <c r="F965" s="96"/>
      <c r="G965" s="97"/>
      <c r="I965" s="4"/>
    </row>
    <row r="966" ht="15.75" customHeight="1">
      <c r="C966" s="95"/>
      <c r="F966" s="96"/>
      <c r="G966" s="97"/>
      <c r="I966" s="4"/>
    </row>
    <row r="967" ht="15.75" customHeight="1">
      <c r="C967" s="95"/>
      <c r="F967" s="96"/>
      <c r="G967" s="97"/>
      <c r="I967" s="4"/>
    </row>
    <row r="968" ht="15.75" customHeight="1">
      <c r="C968" s="95"/>
      <c r="F968" s="96"/>
      <c r="G968" s="97"/>
      <c r="I968" s="4"/>
    </row>
    <row r="969" ht="15.75" customHeight="1">
      <c r="C969" s="95"/>
      <c r="F969" s="96"/>
      <c r="G969" s="97"/>
      <c r="I969" s="4"/>
    </row>
    <row r="970" ht="15.75" customHeight="1">
      <c r="C970" s="95"/>
      <c r="F970" s="96"/>
      <c r="G970" s="97"/>
      <c r="I970" s="4"/>
    </row>
    <row r="971" ht="15.75" customHeight="1">
      <c r="C971" s="95"/>
      <c r="F971" s="96"/>
      <c r="G971" s="97"/>
      <c r="I971" s="4"/>
    </row>
    <row r="972" ht="15.75" customHeight="1">
      <c r="C972" s="95"/>
      <c r="F972" s="96"/>
      <c r="G972" s="97"/>
      <c r="I972" s="4"/>
    </row>
    <row r="973" ht="15.75" customHeight="1">
      <c r="C973" s="95"/>
      <c r="F973" s="96"/>
      <c r="G973" s="97"/>
      <c r="I973" s="4"/>
    </row>
    <row r="974" ht="15.75" customHeight="1">
      <c r="C974" s="95"/>
      <c r="F974" s="96"/>
      <c r="G974" s="97"/>
      <c r="I974" s="4"/>
    </row>
    <row r="975" ht="15.75" customHeight="1">
      <c r="C975" s="95"/>
      <c r="F975" s="96"/>
      <c r="G975" s="97"/>
      <c r="I975" s="4"/>
    </row>
    <row r="976" ht="15.75" customHeight="1">
      <c r="C976" s="95"/>
      <c r="F976" s="96"/>
      <c r="G976" s="97"/>
      <c r="I976" s="4"/>
    </row>
    <row r="977" ht="15.75" customHeight="1">
      <c r="C977" s="95"/>
      <c r="F977" s="96"/>
      <c r="G977" s="97"/>
      <c r="I977" s="4"/>
    </row>
    <row r="978" ht="15.75" customHeight="1">
      <c r="C978" s="95"/>
      <c r="F978" s="96"/>
      <c r="G978" s="97"/>
      <c r="I978" s="4"/>
    </row>
    <row r="979" ht="15.75" customHeight="1">
      <c r="C979" s="95"/>
      <c r="F979" s="96"/>
      <c r="G979" s="97"/>
      <c r="I979" s="4"/>
    </row>
    <row r="980" ht="15.75" customHeight="1">
      <c r="C980" s="95"/>
      <c r="F980" s="96"/>
      <c r="G980" s="97"/>
      <c r="I980" s="4"/>
    </row>
    <row r="981" ht="15.75" customHeight="1">
      <c r="C981" s="95"/>
      <c r="F981" s="96"/>
      <c r="G981" s="97"/>
      <c r="I981" s="4"/>
    </row>
    <row r="982" ht="15.75" customHeight="1">
      <c r="C982" s="95"/>
      <c r="F982" s="96"/>
      <c r="G982" s="97"/>
      <c r="I982" s="4"/>
    </row>
    <row r="983" ht="15.75" customHeight="1">
      <c r="C983" s="95"/>
      <c r="F983" s="96"/>
      <c r="G983" s="97"/>
      <c r="I983" s="4"/>
    </row>
    <row r="984" ht="15.75" customHeight="1">
      <c r="C984" s="95"/>
      <c r="F984" s="96"/>
      <c r="G984" s="97"/>
      <c r="I984" s="4"/>
    </row>
    <row r="985" ht="15.75" customHeight="1">
      <c r="C985" s="95"/>
      <c r="F985" s="96"/>
      <c r="G985" s="97"/>
      <c r="I985" s="4"/>
    </row>
    <row r="986" ht="15.75" customHeight="1">
      <c r="C986" s="95"/>
      <c r="F986" s="96"/>
      <c r="G986" s="97"/>
      <c r="I986" s="4"/>
    </row>
    <row r="987" ht="15.75" customHeight="1">
      <c r="C987" s="95"/>
      <c r="F987" s="96"/>
      <c r="G987" s="97"/>
      <c r="I987" s="4"/>
    </row>
    <row r="988" ht="15.75" customHeight="1">
      <c r="C988" s="95"/>
      <c r="F988" s="96"/>
      <c r="G988" s="97"/>
      <c r="I988" s="4"/>
    </row>
    <row r="989" ht="15.75" customHeight="1">
      <c r="C989" s="95"/>
      <c r="F989" s="96"/>
      <c r="G989" s="97"/>
      <c r="I989" s="4"/>
    </row>
    <row r="990" ht="15.75" customHeight="1">
      <c r="C990" s="95"/>
      <c r="F990" s="96"/>
      <c r="G990" s="97"/>
      <c r="I990" s="4"/>
    </row>
    <row r="991" ht="15.75" customHeight="1">
      <c r="C991" s="95"/>
      <c r="F991" s="96"/>
      <c r="G991" s="97"/>
      <c r="I991" s="4"/>
    </row>
    <row r="992" ht="15.75" customHeight="1">
      <c r="C992" s="95"/>
      <c r="F992" s="96"/>
      <c r="G992" s="97"/>
      <c r="I992" s="4"/>
    </row>
    <row r="993" ht="15.75" customHeight="1">
      <c r="C993" s="95"/>
      <c r="F993" s="96"/>
      <c r="G993" s="97"/>
      <c r="I993" s="4"/>
    </row>
    <row r="994" ht="15.75" customHeight="1">
      <c r="C994" s="95"/>
      <c r="F994" s="96"/>
      <c r="G994" s="97"/>
      <c r="I994" s="4"/>
    </row>
    <row r="995" ht="15.75" customHeight="1">
      <c r="C995" s="95"/>
      <c r="F995" s="96"/>
      <c r="G995" s="97"/>
      <c r="I995" s="4"/>
    </row>
    <row r="996" ht="15.75" customHeight="1">
      <c r="C996" s="95"/>
      <c r="F996" s="96"/>
      <c r="G996" s="97"/>
      <c r="I996" s="4"/>
    </row>
    <row r="997" ht="15.75" customHeight="1">
      <c r="C997" s="95"/>
      <c r="F997" s="96"/>
      <c r="G997" s="97"/>
      <c r="I997" s="4"/>
    </row>
  </sheetData>
  <autoFilter ref="$A$6:$I$210">
    <filterColumn colId="2">
      <filters blank="1">
        <filter val="COMPRAS"/>
        <filter val="CGM"/>
        <filter val="ADM"/>
        <filter val="FINANÇAS"/>
      </filters>
    </filterColumn>
    <sortState ref="A6:I210">
      <sortCondition ref="D6:D210"/>
    </sortState>
  </autoFilter>
  <mergeCells count="11">
    <mergeCell ref="L10:O10"/>
    <mergeCell ref="L11:O11"/>
    <mergeCell ref="K15:P15"/>
    <mergeCell ref="L20:O20"/>
    <mergeCell ref="A1:C4"/>
    <mergeCell ref="D1:F1"/>
    <mergeCell ref="D2:F2"/>
    <mergeCell ref="D3:F3"/>
    <mergeCell ref="K3:P3"/>
    <mergeCell ref="D4:I4"/>
    <mergeCell ref="A5:I5"/>
  </mergeCells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4.43"/>
    <col customWidth="1" min="3" max="3" width="34.14"/>
    <col customWidth="1" min="4" max="4" width="20.0"/>
    <col customWidth="1" min="5" max="5" width="14.29"/>
    <col customWidth="1" min="6" max="6" width="22.71"/>
    <col customWidth="1" min="7" max="7" width="57.86"/>
    <col customWidth="1" min="8" max="10" width="22.71"/>
    <col customWidth="1" min="12" max="12" width="19.14"/>
    <col customWidth="1" min="13" max="13" width="17.71"/>
    <col customWidth="1" min="14" max="14" width="18.29"/>
  </cols>
  <sheetData>
    <row r="1">
      <c r="A1" s="1"/>
      <c r="D1" s="2"/>
      <c r="H1" s="3"/>
      <c r="J1" s="4"/>
    </row>
    <row r="2">
      <c r="D2" s="5" t="s">
        <v>0</v>
      </c>
      <c r="H2" s="3"/>
      <c r="J2" s="4"/>
      <c r="L2" s="98" t="s">
        <v>283</v>
      </c>
      <c r="M2" s="9"/>
      <c r="N2" s="10"/>
    </row>
    <row r="3">
      <c r="D3" s="5" t="s">
        <v>1</v>
      </c>
      <c r="H3" s="6" t="s">
        <v>2</v>
      </c>
      <c r="I3" s="99">
        <v>6415483.48</v>
      </c>
      <c r="J3" s="4"/>
      <c r="L3" s="87" t="s">
        <v>284</v>
      </c>
      <c r="M3" s="87" t="s">
        <v>285</v>
      </c>
      <c r="N3" s="87" t="s">
        <v>286</v>
      </c>
    </row>
    <row r="4" ht="22.5" customHeight="1">
      <c r="A4" s="11"/>
      <c r="B4" s="11"/>
      <c r="C4" s="11"/>
      <c r="D4" s="12" t="s">
        <v>287</v>
      </c>
      <c r="E4" s="11"/>
      <c r="F4" s="11"/>
      <c r="G4" s="11"/>
      <c r="H4" s="11"/>
      <c r="I4" s="11"/>
      <c r="J4" s="11"/>
      <c r="L4" s="100">
        <v>6835452.5</v>
      </c>
      <c r="M4" s="100">
        <v>419969.02</v>
      </c>
      <c r="N4" s="100">
        <v>6415483.48</v>
      </c>
    </row>
    <row r="5" ht="25.5" customHeight="1">
      <c r="A5" s="14" t="s">
        <v>11</v>
      </c>
      <c r="B5" s="9"/>
      <c r="C5" s="9"/>
      <c r="D5" s="9"/>
      <c r="E5" s="9"/>
      <c r="F5" s="9"/>
      <c r="G5" s="9"/>
      <c r="H5" s="9"/>
      <c r="I5" s="9"/>
      <c r="J5" s="10"/>
    </row>
    <row r="6">
      <c r="A6" s="19" t="s">
        <v>16</v>
      </c>
      <c r="B6" s="19" t="s">
        <v>17</v>
      </c>
      <c r="C6" s="19" t="s">
        <v>18</v>
      </c>
      <c r="D6" s="101" t="s">
        <v>288</v>
      </c>
      <c r="E6" s="101" t="s">
        <v>19</v>
      </c>
      <c r="F6" s="101" t="s">
        <v>289</v>
      </c>
      <c r="G6" s="19" t="s">
        <v>21</v>
      </c>
      <c r="H6" s="20" t="s">
        <v>22</v>
      </c>
      <c r="I6" s="19" t="s">
        <v>23</v>
      </c>
      <c r="J6" s="21" t="s">
        <v>24</v>
      </c>
    </row>
    <row r="7" hidden="1">
      <c r="A7" s="50" t="s">
        <v>290</v>
      </c>
      <c r="B7" s="58" t="s">
        <v>29</v>
      </c>
      <c r="C7" s="52" t="s">
        <v>30</v>
      </c>
      <c r="D7" s="50">
        <v>2721579.0</v>
      </c>
      <c r="E7" s="50">
        <v>45154.0</v>
      </c>
      <c r="F7" s="51" t="s">
        <v>291</v>
      </c>
      <c r="G7" s="51" t="s">
        <v>292</v>
      </c>
      <c r="H7" s="102">
        <v>46023.0</v>
      </c>
      <c r="I7" s="54" t="s">
        <v>33</v>
      </c>
      <c r="J7" s="103">
        <v>257.41</v>
      </c>
    </row>
    <row r="8" hidden="1">
      <c r="A8" s="50" t="s">
        <v>293</v>
      </c>
      <c r="B8" s="58" t="s">
        <v>29</v>
      </c>
      <c r="C8" s="52" t="s">
        <v>30</v>
      </c>
      <c r="D8" s="50">
        <v>2721578.0</v>
      </c>
      <c r="E8" s="50">
        <v>45152.0</v>
      </c>
      <c r="F8" s="51" t="s">
        <v>291</v>
      </c>
      <c r="G8" s="51" t="s">
        <v>294</v>
      </c>
      <c r="H8" s="102">
        <v>46023.0</v>
      </c>
      <c r="I8" s="54" t="s">
        <v>33</v>
      </c>
      <c r="J8" s="103">
        <v>854.89</v>
      </c>
    </row>
    <row r="9" hidden="1">
      <c r="A9" s="50" t="s">
        <v>295</v>
      </c>
      <c r="B9" s="58" t="s">
        <v>142</v>
      </c>
      <c r="C9" s="52" t="s">
        <v>30</v>
      </c>
      <c r="D9" s="50">
        <v>2721577.0</v>
      </c>
      <c r="E9" s="50" t="s">
        <v>296</v>
      </c>
      <c r="F9" s="51" t="s">
        <v>291</v>
      </c>
      <c r="G9" s="50" t="s">
        <v>297</v>
      </c>
      <c r="H9" s="102">
        <v>46023.0</v>
      </c>
      <c r="I9" s="54" t="s">
        <v>33</v>
      </c>
      <c r="J9" s="103">
        <v>102.47</v>
      </c>
    </row>
    <row r="10" hidden="1">
      <c r="A10" s="50" t="s">
        <v>298</v>
      </c>
      <c r="B10" s="58" t="s">
        <v>142</v>
      </c>
      <c r="C10" s="52" t="s">
        <v>30</v>
      </c>
      <c r="D10" s="50">
        <v>2721576.0</v>
      </c>
      <c r="E10" s="50" t="s">
        <v>296</v>
      </c>
      <c r="F10" s="51" t="s">
        <v>291</v>
      </c>
      <c r="G10" s="51" t="s">
        <v>299</v>
      </c>
      <c r="H10" s="102">
        <v>46023.0</v>
      </c>
      <c r="I10" s="54" t="s">
        <v>33</v>
      </c>
      <c r="J10" s="103">
        <v>59033.48</v>
      </c>
    </row>
    <row r="11" hidden="1">
      <c r="A11" s="50" t="s">
        <v>300</v>
      </c>
      <c r="B11" s="58" t="s">
        <v>142</v>
      </c>
      <c r="C11" s="52" t="s">
        <v>30</v>
      </c>
      <c r="D11" s="50">
        <v>2721575.0</v>
      </c>
      <c r="E11" s="50">
        <v>45151.0</v>
      </c>
      <c r="F11" s="51" t="s">
        <v>291</v>
      </c>
      <c r="G11" s="50" t="s">
        <v>301</v>
      </c>
      <c r="H11" s="102">
        <v>46023.0</v>
      </c>
      <c r="I11" s="54" t="s">
        <v>33</v>
      </c>
      <c r="J11" s="103">
        <v>7866.38</v>
      </c>
    </row>
    <row r="12" hidden="1">
      <c r="A12" s="81" t="s">
        <v>302</v>
      </c>
      <c r="B12" s="58" t="s">
        <v>303</v>
      </c>
      <c r="C12" s="52" t="s">
        <v>30</v>
      </c>
      <c r="D12" s="50">
        <v>2784261.0</v>
      </c>
      <c r="E12" s="50">
        <v>45153.0</v>
      </c>
      <c r="F12" s="51" t="s">
        <v>291</v>
      </c>
      <c r="G12" s="50" t="s">
        <v>304</v>
      </c>
      <c r="H12" s="102">
        <v>46023.0</v>
      </c>
      <c r="I12" s="54" t="s">
        <v>33</v>
      </c>
      <c r="J12" s="103">
        <v>1123.19</v>
      </c>
    </row>
    <row r="13" hidden="1">
      <c r="A13" s="81" t="s">
        <v>305</v>
      </c>
      <c r="B13" s="58" t="s">
        <v>303</v>
      </c>
      <c r="C13" s="52" t="s">
        <v>30</v>
      </c>
      <c r="D13" s="50">
        <v>2780368.0</v>
      </c>
      <c r="E13" s="50">
        <v>41446.0</v>
      </c>
      <c r="F13" s="51" t="s">
        <v>291</v>
      </c>
      <c r="G13" s="50" t="s">
        <v>304</v>
      </c>
      <c r="H13" s="102">
        <v>46060.0</v>
      </c>
      <c r="I13" s="54" t="s">
        <v>33</v>
      </c>
      <c r="J13" s="103">
        <v>1592.24</v>
      </c>
    </row>
    <row r="14" hidden="1">
      <c r="A14" s="81" t="s">
        <v>306</v>
      </c>
      <c r="B14" s="58" t="s">
        <v>303</v>
      </c>
      <c r="C14" s="52" t="s">
        <v>30</v>
      </c>
      <c r="D14" s="50">
        <v>2780369.0</v>
      </c>
      <c r="E14" s="50">
        <v>41445.0</v>
      </c>
      <c r="F14" s="51" t="s">
        <v>291</v>
      </c>
      <c r="G14" s="50" t="s">
        <v>301</v>
      </c>
      <c r="H14" s="102">
        <v>46060.0</v>
      </c>
      <c r="I14" s="54" t="s">
        <v>33</v>
      </c>
      <c r="J14" s="103">
        <v>1313.29</v>
      </c>
    </row>
    <row r="15" hidden="1">
      <c r="A15" s="81" t="s">
        <v>307</v>
      </c>
      <c r="B15" s="58" t="s">
        <v>29</v>
      </c>
      <c r="C15" s="52" t="s">
        <v>30</v>
      </c>
      <c r="D15" s="50">
        <v>2780716.0</v>
      </c>
      <c r="E15" s="50">
        <v>41094.0</v>
      </c>
      <c r="F15" s="51" t="s">
        <v>291</v>
      </c>
      <c r="G15" s="50" t="s">
        <v>308</v>
      </c>
      <c r="H15" s="102">
        <v>46060.0</v>
      </c>
      <c r="I15" s="54" t="s">
        <v>33</v>
      </c>
      <c r="J15" s="103">
        <v>1163.16</v>
      </c>
    </row>
    <row r="16" hidden="1">
      <c r="A16" s="81" t="s">
        <v>309</v>
      </c>
      <c r="B16" s="58" t="s">
        <v>29</v>
      </c>
      <c r="C16" s="52" t="s">
        <v>30</v>
      </c>
      <c r="D16" s="50">
        <v>2780370.0</v>
      </c>
      <c r="E16" s="50">
        <v>41444.0</v>
      </c>
      <c r="F16" s="51" t="s">
        <v>291</v>
      </c>
      <c r="G16" s="51" t="s">
        <v>299</v>
      </c>
      <c r="H16" s="102">
        <v>46060.0</v>
      </c>
      <c r="I16" s="54" t="s">
        <v>33</v>
      </c>
      <c r="J16" s="103">
        <v>65673.65</v>
      </c>
    </row>
    <row r="17">
      <c r="A17" s="59" t="s">
        <v>310</v>
      </c>
      <c r="B17" s="81" t="s">
        <v>29</v>
      </c>
      <c r="C17" s="104" t="s">
        <v>263</v>
      </c>
      <c r="D17" s="105">
        <v>2794255.0</v>
      </c>
      <c r="E17" s="59">
        <v>97380.0</v>
      </c>
      <c r="F17" s="51" t="s">
        <v>291</v>
      </c>
      <c r="G17" s="51" t="s">
        <v>299</v>
      </c>
      <c r="H17" s="106">
        <v>46082.0</v>
      </c>
      <c r="I17" s="54" t="s">
        <v>33</v>
      </c>
      <c r="J17" s="103">
        <v>68920.09</v>
      </c>
    </row>
    <row r="18" hidden="1">
      <c r="A18" s="59" t="s">
        <v>311</v>
      </c>
      <c r="B18" s="81" t="s">
        <v>29</v>
      </c>
      <c r="C18" s="82" t="s">
        <v>30</v>
      </c>
      <c r="D18" s="107">
        <v>2794256.0</v>
      </c>
      <c r="E18" s="59">
        <v>97379.0</v>
      </c>
      <c r="F18" s="51" t="s">
        <v>291</v>
      </c>
      <c r="G18" s="51" t="s">
        <v>292</v>
      </c>
      <c r="H18" s="106">
        <v>46082.0</v>
      </c>
      <c r="I18" s="54" t="s">
        <v>33</v>
      </c>
      <c r="J18" s="103">
        <v>400.43</v>
      </c>
    </row>
    <row r="19" hidden="1">
      <c r="A19" s="81" t="s">
        <v>312</v>
      </c>
      <c r="B19" s="81" t="s">
        <v>29</v>
      </c>
      <c r="C19" s="82" t="s">
        <v>30</v>
      </c>
      <c r="D19" s="81">
        <v>2852171.0</v>
      </c>
      <c r="E19" s="108">
        <v>161146.0</v>
      </c>
      <c r="F19" s="51" t="s">
        <v>291</v>
      </c>
      <c r="G19" s="50" t="s">
        <v>304</v>
      </c>
      <c r="H19" s="109">
        <v>46113.0</v>
      </c>
      <c r="I19" s="54" t="s">
        <v>33</v>
      </c>
      <c r="J19" s="103">
        <v>3194.24</v>
      </c>
    </row>
    <row r="20" hidden="1">
      <c r="A20" s="81" t="s">
        <v>313</v>
      </c>
      <c r="B20" s="58" t="s">
        <v>29</v>
      </c>
      <c r="C20" s="82" t="s">
        <v>30</v>
      </c>
      <c r="D20" s="81">
        <v>2852172.0</v>
      </c>
      <c r="E20" s="107">
        <v>161145.0</v>
      </c>
      <c r="F20" s="51" t="s">
        <v>291</v>
      </c>
      <c r="G20" s="50" t="s">
        <v>301</v>
      </c>
      <c r="H20" s="109">
        <v>46113.0</v>
      </c>
      <c r="I20" s="54" t="s">
        <v>33</v>
      </c>
      <c r="J20" s="103">
        <v>652.25</v>
      </c>
    </row>
    <row r="21" ht="18.75" hidden="1" customHeight="1">
      <c r="A21" s="81" t="s">
        <v>314</v>
      </c>
      <c r="B21" s="81" t="s">
        <v>29</v>
      </c>
      <c r="C21" s="52" t="s">
        <v>30</v>
      </c>
      <c r="D21" s="81">
        <v>2852173.0</v>
      </c>
      <c r="E21" s="108">
        <v>161144.0</v>
      </c>
      <c r="F21" s="51" t="s">
        <v>291</v>
      </c>
      <c r="G21" s="51" t="s">
        <v>299</v>
      </c>
      <c r="H21" s="109">
        <v>46113.0</v>
      </c>
      <c r="I21" s="54" t="s">
        <v>33</v>
      </c>
      <c r="J21" s="103">
        <v>82652.88</v>
      </c>
    </row>
    <row r="22" ht="16.5" hidden="1" customHeight="1">
      <c r="A22" s="81" t="s">
        <v>315</v>
      </c>
      <c r="B22" s="81" t="s">
        <v>29</v>
      </c>
      <c r="C22" s="82" t="s">
        <v>30</v>
      </c>
      <c r="D22" s="81">
        <v>2852174.0</v>
      </c>
      <c r="E22" s="108">
        <v>161143.0</v>
      </c>
      <c r="F22" s="51" t="s">
        <v>291</v>
      </c>
      <c r="G22" s="51" t="s">
        <v>294</v>
      </c>
      <c r="H22" s="109">
        <v>46113.0</v>
      </c>
      <c r="I22" s="54" t="s">
        <v>33</v>
      </c>
      <c r="J22" s="110">
        <v>873.04</v>
      </c>
    </row>
    <row r="23" hidden="1">
      <c r="A23" s="81" t="s">
        <v>316</v>
      </c>
      <c r="B23" s="81" t="s">
        <v>29</v>
      </c>
      <c r="C23" s="52" t="s">
        <v>30</v>
      </c>
      <c r="D23" s="81">
        <v>2852175.0</v>
      </c>
      <c r="E23" s="108">
        <v>161142.0</v>
      </c>
      <c r="F23" s="51" t="s">
        <v>291</v>
      </c>
      <c r="G23" s="51" t="s">
        <v>292</v>
      </c>
      <c r="H23" s="109">
        <v>46113.0</v>
      </c>
      <c r="I23" s="54" t="s">
        <v>33</v>
      </c>
      <c r="J23" s="110">
        <v>1170.37</v>
      </c>
    </row>
    <row r="24">
      <c r="A24" s="81" t="s">
        <v>317</v>
      </c>
      <c r="B24" s="81" t="s">
        <v>29</v>
      </c>
      <c r="C24" s="81" t="s">
        <v>234</v>
      </c>
      <c r="D24" s="81">
        <v>2887870.0</v>
      </c>
      <c r="E24" s="81">
        <v>205093.0</v>
      </c>
      <c r="F24" s="81" t="s">
        <v>291</v>
      </c>
      <c r="G24" s="81" t="s">
        <v>304</v>
      </c>
      <c r="H24" s="109">
        <v>46143.0</v>
      </c>
      <c r="I24" s="81" t="s">
        <v>33</v>
      </c>
      <c r="J24" s="111">
        <v>3411.81</v>
      </c>
    </row>
    <row r="25">
      <c r="A25" s="81" t="s">
        <v>318</v>
      </c>
      <c r="B25" s="81" t="s">
        <v>29</v>
      </c>
      <c r="C25" s="81" t="s">
        <v>234</v>
      </c>
      <c r="D25" s="81">
        <v>2887871.0</v>
      </c>
      <c r="E25" s="81">
        <v>205092.0</v>
      </c>
      <c r="F25" s="81" t="s">
        <v>291</v>
      </c>
      <c r="G25" s="81" t="s">
        <v>301</v>
      </c>
      <c r="H25" s="109">
        <v>46143.0</v>
      </c>
      <c r="I25" s="81" t="s">
        <v>33</v>
      </c>
      <c r="J25" s="111">
        <v>200.87</v>
      </c>
    </row>
    <row r="26">
      <c r="A26" s="81" t="s">
        <v>319</v>
      </c>
      <c r="B26" s="81" t="s">
        <v>29</v>
      </c>
      <c r="C26" s="81" t="s">
        <v>271</v>
      </c>
      <c r="D26" s="81">
        <v>2887872.0</v>
      </c>
      <c r="E26" s="81">
        <v>205091.0</v>
      </c>
      <c r="F26" s="81" t="s">
        <v>291</v>
      </c>
      <c r="G26" s="81" t="s">
        <v>320</v>
      </c>
      <c r="H26" s="109">
        <v>46143.0</v>
      </c>
      <c r="I26" s="81" t="s">
        <v>33</v>
      </c>
      <c r="J26" s="111">
        <v>1431.78</v>
      </c>
    </row>
    <row r="27">
      <c r="A27" s="94"/>
      <c r="B27" s="94"/>
      <c r="C27" s="94"/>
      <c r="D27" s="81">
        <v>2887873.0</v>
      </c>
      <c r="E27" s="81">
        <v>205090.0</v>
      </c>
      <c r="F27" s="81" t="s">
        <v>291</v>
      </c>
      <c r="G27" s="81" t="s">
        <v>321</v>
      </c>
      <c r="H27" s="109">
        <v>46143.0</v>
      </c>
      <c r="I27" s="81" t="s">
        <v>33</v>
      </c>
      <c r="J27" s="111">
        <v>93828.89</v>
      </c>
    </row>
    <row r="28" ht="17.25" customHeight="1">
      <c r="A28" s="81" t="s">
        <v>322</v>
      </c>
      <c r="B28" s="81" t="s">
        <v>29</v>
      </c>
      <c r="C28" s="81" t="s">
        <v>234</v>
      </c>
      <c r="D28" s="81">
        <v>2887874.0</v>
      </c>
      <c r="E28" s="81">
        <v>205089.0</v>
      </c>
      <c r="F28" s="81" t="s">
        <v>291</v>
      </c>
      <c r="G28" s="81" t="s">
        <v>323</v>
      </c>
      <c r="H28" s="109">
        <v>46143.0</v>
      </c>
      <c r="I28" s="81" t="s">
        <v>33</v>
      </c>
      <c r="J28" s="111">
        <v>507.48</v>
      </c>
    </row>
  </sheetData>
  <autoFilter ref="$C$6:$C$26">
    <filterColumn colId="0">
      <filters>
        <filter val="CGM"/>
        <filter val="ADM"/>
        <filter val="FINANÇAS"/>
      </filters>
    </filterColumn>
  </autoFilter>
  <mergeCells count="7">
    <mergeCell ref="A1:C4"/>
    <mergeCell ref="D1:G1"/>
    <mergeCell ref="D2:G2"/>
    <mergeCell ref="L2:N2"/>
    <mergeCell ref="D3:G3"/>
    <mergeCell ref="D4:J4"/>
    <mergeCell ref="A5:J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